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jpeg" Extension="jpeg"/>
  <Default ContentType="image/png" Extension="png"/>
  <Default ContentType="application/vnd.openxmlformats-package.relationships+xml" Extension="rels"/>
  <Default ContentType="image/png" Extension="tmp"/>
  <Default ContentType="application/vnd.openxmlformats-officedocument.vmlDrawing" Extension="vml"/>
  <Default ContentType="image/x-wmf" Extension="wmf"/>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ml.chart+xml" PartName="/xl/charts/chart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comments+xml" PartName="/xl/comments1.xml"/>
  <Override ContentType="application/vnd.openxmlformats-officedocument.drawing+xml" PartName="/xl/drawings/drawing6.xml"/>
  <Override ContentType="application/vnd.openxmlformats-officedocument.drawing+xml" PartName="/xl/drawings/drawing7.xml"/>
  <Override ContentType="application/vnd.ms-office.activeX+xml" PartName="/xl/activeX/activeX1.xml"/>
  <Override ContentType="application/vnd.ms-office.activeX" PartName="/xl/activeX/activeX1.bin"/>
  <Override ContentType="application/vnd.ms-office.activeX+xml" PartName="/xl/activeX/activeX2.xml"/>
  <Override ContentType="application/vnd.ms-office.activeX" PartName="/xl/activeX/activeX2.bin"/>
  <Override ContentType="application/vnd.ms-office.activeX+xml" PartName="/xl/activeX/activeX3.xml"/>
  <Override ContentType="application/vnd.ms-office.activeX" PartName="/xl/activeX/activeX3.bin"/>
  <Override ContentType="application/vnd.ms-office.activeX+xml" PartName="/xl/activeX/activeX4.xml"/>
  <Override ContentType="application/vnd.ms-office.activeX" PartName="/xl/activeX/activeX4.bin"/>
  <Override ContentType="application/vnd.ms-office.activeX+xml" PartName="/xl/activeX/activeX5.xml"/>
  <Override ContentType="application/vnd.ms-office.activeX" PartName="/xl/activeX/activeX5.bin"/>
  <Override ContentType="application/vnd.ms-office.activeX+xml" PartName="/xl/activeX/activeX6.xml"/>
  <Override ContentType="application/vnd.ms-office.activeX" PartName="/xl/activeX/activeX6.bin"/>
  <Override ContentType="application/vnd.ms-excel.controlproperties+xml" PartName="/xl/ctrlProps/ctrlProp1.xml"/>
  <Override ContentType="application/vnd.openxmlformats-officedocument.drawing+xml" PartName="/xl/drawings/drawing8.xml"/>
  <Override ContentType="application/vnd.openxmlformats-officedocument.oleObject" PartName="/xl/embeddings/oleObject1.bin"/>
  <Override ContentType="application/vnd.openxmlformats-officedocument.oleObject" PartName="/xl/embeddings/oleObject2.bin"/>
  <Override ContentType="application/vnd.openxmlformats-officedocument.oleObject" PartName="/xl/embeddings/oleObject3.bin"/>
  <Override ContentType="application/vnd.openxmlformats-officedocument.oleObject" PartName="/xl/embeddings/oleObject4.bin"/>
  <Override ContentType="application/vnd.openxmlformats-officedocument.oleObject" PartName="/xl/embeddings/oleObject5.bin"/>
  <Override ContentType="application/vnd.openxmlformats-officedocument.oleObject" PartName="/xl/embeddings/oleObject6.bin"/>
  <Override ContentType="application/vnd.openxmlformats-package.core-properties+xml" PartName="/docProps/core.xml"/>
  <Override ContentType="application/vnd.openxmlformats-officedocument.extended-properties+xml" PartName="/docProps/app.xml"/>
  <Default ContentType="image/jpeg" Extension="jpg"/>
</Types>
</file>

<file path=_rels/.rels><?xml version="1.0" encoding="UTF-8"?><Relationships xmlns="http://schemas.openxmlformats.org/package/2006/relationships"><Relationship Id="rId3" Target="docProps/app.xml" Type="http://schemas.openxmlformats.org/officeDocument/2006/relationships/extended-properties"/><Relationship Id="rId2" Target="docProps/core.xml" Type="http://schemas.openxmlformats.org/package/2006/relationships/metadata/core-propertie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27932"/>
  <workbookPr codeName="ThisWorkbook" defaultThemeVersion="124226" hidePivotFieldList="1"/>
  <mc:AlternateContent>
    <mc:Choice Requires="x15"/>
  </mc:AlternateContent>
  <xr:revisionPtr documentId="13_ncr:1_{1E36BF26-4591-42D5-95D8-091F34421F83}" revIDLastSave="0" xr10:uidLastSave="{00000000-0000-0000-0000-000000000000}" xr6:coauthVersionLast="47" xr6:coauthVersionMax="47"/>
  <bookViews>
    <workbookView activeTab="4" tabRatio="926" windowHeight="11385" windowWidth="21600" xWindow="3315" xr2:uid="{00000000-000D-0000-FFFF-FFFF00000000}" yWindow="915"/>
  </bookViews>
  <sheets>
    <sheet name="A-D.- FICHA" r:id="rId1" sheetId="1"/>
    <sheet name="E.- CROQUIS" r:id="rId2" sheetId="4"/>
    <sheet name="F.1- CONDICION GLOBAL" r:id="rId3" sheetId="2"/>
    <sheet name="F.2.-PANEL FOTOGRAFICO" r:id="rId4" sheetId="12"/>
    <sheet name="G.- CONDICION ESTADISTICA" r:id="rId5" sheetId="5"/>
    <sheet name="G.2-CONCLUSIONES" r:id="rId6" sheetId="13"/>
    <sheet name="AUXILIAR" r:id="rId7" sheetId="8" state="hidden"/>
    <sheet name="Hoja1" r:id="rId8" sheetId="9" state="hidden"/>
    <sheet name="Hoja3" r:id="rId9" sheetId="11" state="hidden"/>
  </sheets>
  <definedNames>
    <definedName hidden="1" localSheetId="6" name="_xlnm._FilterDatabase">AUXILIAR!$B$4:$G$116</definedName>
    <definedName localSheetId="0" name="Alineamiento">'A-D.- FICHA'!$G$50:$H$52</definedName>
    <definedName name="Alineamiento">#REF!</definedName>
    <definedName localSheetId="0" name="_xlnm.Print_Area">'A-D.- FICHA'!$A$1:$R$48,'A-D.- FICHA'!$A$59:$R$131,'A-D.- FICHA'!$A$168:$R$202,'A-D.- FICHA'!$A$221:$R$281,'A-D.- FICHA'!$A$301:$R$360,'A-D.- FICHA'!$A$383:$R$487</definedName>
    <definedName localSheetId="1" name="_xlnm.Print_Area">'E.- CROQUIS'!$A$2:$K$55</definedName>
    <definedName localSheetId="2" name="_xlnm.Print_Area">'F.1- CONDICION GLOBAL'!$A$1:$L$46</definedName>
    <definedName localSheetId="3" name="_xlnm.Print_Area">'F.2.-PANEL FOTOGRAFICO'!$A$1:$F$43</definedName>
    <definedName localSheetId="4" name="_xlnm.Print_Area">'G.- CONDICION ESTADISTICA'!$A$1:$M$195</definedName>
    <definedName localSheetId="5" name="_xlnm.Print_Area">'G.2-CONCLUSIONES'!$A$1:$I$58</definedName>
    <definedName localSheetId="0" name="CatTipo">'A-D.- FICHA'!$E$134:$R$134</definedName>
    <definedName name="CatTipo">#REF!</definedName>
    <definedName localSheetId="0" name="Cond.Borde">'A-D.- FICHA'!$C$145:$C$151</definedName>
    <definedName name="Cond.Borde">#REF!</definedName>
    <definedName localSheetId="0" name="Cond.Carretera">'A-D.- FICHA'!$J$376:$J$378</definedName>
    <definedName name="Cond.Carretera">#REF!</definedName>
    <definedName localSheetId="0" name="CondAmb">'A-D.- FICHA'!$N$50:$N$52</definedName>
    <definedName name="CondAmb">#REF!</definedName>
    <definedName name="elementos">#REF!</definedName>
    <definedName localSheetId="0" name="FormaViga">'A-D.- FICHA'!$L$154:$L$157</definedName>
    <definedName name="FormaViga">#REF!</definedName>
    <definedName localSheetId="0" name="luisa">'A-D.- FICHA'!$C$162:$C$166</definedName>
    <definedName name="luisa">#REF!</definedName>
    <definedName localSheetId="0" name="MarcasdeCalzada">'A-D.- FICHA'!$G$373</definedName>
    <definedName name="MarcasdeCalzada">#REF!</definedName>
    <definedName localSheetId="0" name="Mat">'A-D.- FICHA'!$G$162:$G$165</definedName>
    <definedName name="Mat">#REF!</definedName>
    <definedName localSheetId="0" name="Mat.Predo">'A-D.- FICHA'!$G$145:$G$151</definedName>
    <definedName name="Mat.Predo">#REF!</definedName>
    <definedName localSheetId="0" name="MatBaranda">'A-D.- FICHA'!$G$283:$G$286</definedName>
    <definedName name="MatBaranda">#REF!</definedName>
    <definedName localSheetId="0" name="MatDrenaje">'A-D.- FICHA'!$M$291:$M$294</definedName>
    <definedName name="MatDrenaje">#REF!</definedName>
    <definedName localSheetId="0" name="MaterialCimenta">'A-D.- FICHA'!$N$162:$N$166</definedName>
    <definedName name="MaterialCimenta">#REF!</definedName>
    <definedName localSheetId="0" name="MaterialEleva">'A-D.- FICHA'!$G$162:$G$165</definedName>
    <definedName name="MaterialEleva">#REF!</definedName>
    <definedName localSheetId="0" name="Materiallosa">'A-D.- FICHA'!$J$145:$J$149</definedName>
    <definedName name="Materiallosa">#REF!</definedName>
    <definedName localSheetId="0" name="MatJuntas">'A-D.- FICHA'!$F$291:$F$294</definedName>
    <definedName name="MatJuntas">#REF!</definedName>
    <definedName localSheetId="0" name="MatVeredas">'A-D.- FICHA'!$J$283:$J$285</definedName>
    <definedName name="MatVeredas">#REF!</definedName>
    <definedName localSheetId="0" name="MatVigas">'A-D.- FICHA'!$H$154:$H$158</definedName>
    <definedName name="MatVigas">#REF!</definedName>
    <definedName localSheetId="0" name="Nat.Suelo">'A-D.- FICHA'!$N$376:$N$381</definedName>
    <definedName name="Nat.Suelo">#REF!</definedName>
    <definedName localSheetId="0" name="pendiente">#REF!</definedName>
    <definedName name="pendiente">#REF!</definedName>
    <definedName localSheetId="0" name="SeñaCarga">#REF!</definedName>
    <definedName name="SeñaCarga">#REF!</definedName>
    <definedName localSheetId="0" name="SeñalInformativa">'A-D.- FICHA'!$G$361</definedName>
    <definedName name="SeñalInformativa">#REF!</definedName>
    <definedName localSheetId="0" name="Señalpreventiva">'A-D.- FICHA'!$G$363:$G$366</definedName>
    <definedName name="Señalpreventiva">#REF!</definedName>
    <definedName localSheetId="0" name="SeñalReglamentaria">'A-D.- FICHA'!$G$368:$G$371</definedName>
    <definedName name="SeñalReglamentaria">#REF!</definedName>
    <definedName localSheetId="0" name="Sobre">'A-D.- FICHA'!$C$50:$E$57</definedName>
    <definedName name="Sobre">#REF!</definedName>
    <definedName localSheetId="0" name="Subestructura">'A-D.- FICHA'!$G$376:$G$377</definedName>
    <definedName name="Subestructura">#REF!</definedName>
    <definedName localSheetId="0" name="SuperDesgaste">'A-D.- FICHA'!$N$145:$N$149</definedName>
    <definedName name="SuperDesgaste">#REF!</definedName>
    <definedName localSheetId="0" name="TipoApoyos">'A-D.- FICHA'!$N$283:$N$288</definedName>
    <definedName name="TipoApoyos">#REF!</definedName>
    <definedName localSheetId="0" name="TipoBarandas">'A-D.- FICHA'!$C$283:$C$286</definedName>
    <definedName name="TipoBarandas">#REF!</definedName>
    <definedName localSheetId="0" name="TipoCimentación">'A-D.- FICHA'!$J$162:$J$165</definedName>
    <definedName name="TipoCimentación">#REF!</definedName>
    <definedName localSheetId="0" name="TipoDrenaje">'A-D.- FICHA'!$I$291:$I$293</definedName>
    <definedName name="TipoDrenaje">#REF!</definedName>
    <definedName localSheetId="0" name="TipoElevación">'A-D.- FICHA'!$C$162:$C$166</definedName>
    <definedName name="TipoElevación">#REF!</definedName>
    <definedName localSheetId="0" name="Tiposerv">'A-D.- FICHA'!$J$50:$L$54</definedName>
    <definedName name="Tiposerv">#REF!</definedName>
    <definedName localSheetId="0" name="TipoVigas">'A-D.- FICHA'!$E$154:$E$157</definedName>
    <definedName name="TipoVigas">#REF!</definedName>
    <definedName localSheetId="0" name="_xlnm.Print_Titles">'A-D.- FICHA'!$1:$5</definedName>
    <definedName localSheetId="3" name="_xlnm.Print_Titles">'F.2.-PANEL FOTOGRAFICO'!$1:$10</definedName>
    <definedName localSheetId="4" name="_xlnm.Print_Titles">'G.- CONDICION ESTADISTICA'!$1:$11</definedName>
    <definedName localSheetId="0" name="Tramos">'A-D.- FICHA'!$C$134:$C$135</definedName>
    <definedName name="Tramos">#REF!</definedName>
    <definedName localSheetId="0" name="Visibilidad">'A-D.- FICHA'!$C$297:$C$299</definedName>
    <definedName name="Visibilidad">#REF!</definedName>
  </definedNames>
  <calcPr calcId="191029" calcMode="auto" forceFullCalc="1"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O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<sst xmlns="http://schemas.openxmlformats.org/spreadsheetml/2006/main" count="1414" uniqueCount="800">
  <si>
    <t>SERVICIO DE CONSULTORIA PARA EL INVENTARIO ESPECIALIZADO DE LA INFRAESTRUCTURA VIAL EN LOS TRAMOS DE LA RED VIAL NACIONAL NO CONCESIONADA</t>
  </si>
  <si>
    <t>FICHA SCAP</t>
  </si>
  <si>
    <r>
      <rPr>
        <b/>
        <sz val="11"/>
        <color indexed="8"/>
        <rFont val="Arial Narrow"/>
        <family val="2"/>
      </rPr>
      <t>SECCION (A)</t>
    </r>
    <r>
      <rPr>
        <sz val="11"/>
        <color indexed="8"/>
        <rFont val="Arial Narrow"/>
        <family val="2"/>
      </rPr>
      <t xml:space="preserve"> : IDENTIFICACIÓN Y UBICACIÓN</t>
    </r>
  </si>
  <si>
    <t>Nombre</t>
  </si>
  <si>
    <t>Código</t>
  </si>
  <si>
    <t>Altitud:</t>
  </si>
  <si>
    <t>Dpto Político:</t>
  </si>
  <si>
    <t>Pob. mas cercano</t>
  </si>
  <si>
    <t xml:space="preserve"> </t>
  </si>
  <si>
    <t>Latitud</t>
  </si>
  <si>
    <t>Dpto Vial</t>
  </si>
  <si>
    <t>Ruta</t>
  </si>
  <si>
    <t>Longitud</t>
  </si>
  <si>
    <t>Provincia</t>
  </si>
  <si>
    <t>Kilometraje</t>
  </si>
  <si>
    <t>Distrito</t>
  </si>
  <si>
    <t>Tipo de Ruta</t>
  </si>
  <si>
    <r>
      <rPr>
        <b/>
        <sz val="11"/>
        <color indexed="8"/>
        <rFont val="Arial Narrow"/>
        <family val="2"/>
      </rPr>
      <t xml:space="preserve">SECCION (B): </t>
    </r>
    <r>
      <rPr>
        <sz val="11"/>
        <color indexed="8"/>
        <rFont val="Arial Narrow"/>
        <family val="2"/>
      </rPr>
      <t>DATOS GENERALES</t>
    </r>
  </si>
  <si>
    <t>Puente sobre:</t>
  </si>
  <si>
    <t>Número de Proyecto:</t>
  </si>
  <si>
    <t>Nombre:</t>
  </si>
  <si>
    <t>Año de Construcción:</t>
  </si>
  <si>
    <t>Longitud Total:</t>
  </si>
  <si>
    <t>Última Inspección:</t>
  </si>
  <si>
    <t>mm/dd/aa</t>
  </si>
  <si>
    <t>Num de vías de tránsito:</t>
  </si>
  <si>
    <t>Último Trabajo:</t>
  </si>
  <si>
    <t>Ancho de Calzada:</t>
  </si>
  <si>
    <t>Tipo de Servicio:</t>
  </si>
  <si>
    <t>Sobrecarga de Diseño:</t>
  </si>
  <si>
    <t>Flujo de Tráfico:</t>
  </si>
  <si>
    <t>Ancho de Vereda:</t>
  </si>
  <si>
    <t>Año:</t>
  </si>
  <si>
    <t>Altura Libre Superior:</t>
  </si>
  <si>
    <t>% Camiones y Buses:</t>
  </si>
  <si>
    <t>Altura Libre Inferior:</t>
  </si>
  <si>
    <t>Alineamiento:</t>
  </si>
  <si>
    <t>Condiciones Ambientales:</t>
  </si>
  <si>
    <t>Sobre</t>
  </si>
  <si>
    <t>Alineamiento</t>
  </si>
  <si>
    <t>Tipo de Servicio</t>
  </si>
  <si>
    <t>Condiciones Ambientales</t>
  </si>
  <si>
    <t>Río</t>
  </si>
  <si>
    <t>Recto</t>
  </si>
  <si>
    <t>Irrestricto</t>
  </si>
  <si>
    <t>Severo</t>
  </si>
  <si>
    <t>Quebrada Seca</t>
  </si>
  <si>
    <t>Curvo</t>
  </si>
  <si>
    <t>Solo Automoviles</t>
  </si>
  <si>
    <t>Moderado</t>
  </si>
  <si>
    <t>Tipo de ruta</t>
  </si>
  <si>
    <t xml:space="preserve">Quebrada </t>
  </si>
  <si>
    <t>Esviado</t>
  </si>
  <si>
    <t>Solo Camiones</t>
  </si>
  <si>
    <t>Benigno</t>
  </si>
  <si>
    <t>Nacional</t>
  </si>
  <si>
    <t>Canal</t>
  </si>
  <si>
    <t>Camiones hasta Cierta Carga</t>
  </si>
  <si>
    <t>Departamental</t>
  </si>
  <si>
    <t>Carretera</t>
  </si>
  <si>
    <t>Fuera de Servicio</t>
  </si>
  <si>
    <t>Vecinal</t>
  </si>
  <si>
    <t>FFCC</t>
  </si>
  <si>
    <t>Valle (Viaducto Elevado)</t>
  </si>
  <si>
    <t>Zona Urbana (Viaducto elevado)</t>
  </si>
  <si>
    <r>
      <rPr>
        <b/>
        <sz val="11"/>
        <color indexed="8"/>
        <rFont val="Arial Narrow"/>
        <family val="2"/>
      </rPr>
      <t xml:space="preserve">SECCION (C): </t>
    </r>
    <r>
      <rPr>
        <sz val="11"/>
        <color indexed="8"/>
        <rFont val="Arial Narrow"/>
        <family val="2"/>
      </rPr>
      <t>DATOS DEL PUENTE</t>
    </r>
  </si>
  <si>
    <t>Num Tram:</t>
  </si>
  <si>
    <t>Long. 1ºTramo:</t>
  </si>
  <si>
    <t>Tramos:</t>
  </si>
  <si>
    <t>Long. 2ºTramo:</t>
  </si>
  <si>
    <t>(Igual a B-3)</t>
  </si>
  <si>
    <t>Long. 3ºTramo:</t>
  </si>
  <si>
    <t>Luz Principal:</t>
  </si>
  <si>
    <r>
      <rPr>
        <b/>
        <sz val="11"/>
        <color indexed="9"/>
        <rFont val="Arial Narrow"/>
        <family val="2"/>
      </rPr>
      <t xml:space="preserve">C.1 : </t>
    </r>
    <r>
      <rPr>
        <sz val="11"/>
        <color indexed="9"/>
        <rFont val="Arial Narrow"/>
        <family val="2"/>
      </rPr>
      <t>TRAMO 1 (PRINCIPAL)</t>
    </r>
  </si>
  <si>
    <r>
      <rPr>
        <b/>
        <sz val="11"/>
        <color indexed="9"/>
        <rFont val="Arial Narrow"/>
        <family val="2"/>
      </rPr>
      <t>C.2</t>
    </r>
    <r>
      <rPr>
        <sz val="11"/>
        <color indexed="9"/>
        <rFont val="Arial Narrow"/>
        <family val="2"/>
      </rPr>
      <t xml:space="preserve">  :TRAMO 2</t>
    </r>
  </si>
  <si>
    <t>{Sección 1}</t>
  </si>
  <si>
    <t>{Sección 2}</t>
  </si>
  <si>
    <t>DEFINITIVO</t>
  </si>
  <si>
    <t>{Subsección a}</t>
  </si>
  <si>
    <t xml:space="preserve">  Losa</t>
  </si>
  <si>
    <t>Categoría:</t>
  </si>
  <si>
    <t xml:space="preserve">  Losa con Vigas</t>
  </si>
  <si>
    <t xml:space="preserve">  Portico</t>
  </si>
  <si>
    <t>Tipo   :</t>
  </si>
  <si>
    <t>Tipo  :</t>
  </si>
  <si>
    <t xml:space="preserve">  Arco</t>
  </si>
  <si>
    <t xml:space="preserve">  Reticulado</t>
  </si>
  <si>
    <t>Caract. Secundaria:</t>
  </si>
  <si>
    <t xml:space="preserve">  Colgante</t>
  </si>
  <si>
    <t>{Subsección b}</t>
  </si>
  <si>
    <t xml:space="preserve">  Atirantado</t>
  </si>
  <si>
    <t>Condición  de borde:</t>
  </si>
  <si>
    <t>PROVISIONALES</t>
  </si>
  <si>
    <t>{Subsección c}</t>
  </si>
  <si>
    <t xml:space="preserve">  Modular</t>
  </si>
  <si>
    <t>Material Predom:</t>
  </si>
  <si>
    <t xml:space="preserve">  Tipo Yawata</t>
  </si>
  <si>
    <t xml:space="preserve">  Otros</t>
  </si>
  <si>
    <t>{Si Nº de tramos &gt; 1 y son desiguales, Sección 2}</t>
  </si>
  <si>
    <t>ALCANTARILLA</t>
  </si>
  <si>
    <t xml:space="preserve">  Marco</t>
  </si>
  <si>
    <t xml:space="preserve">  Circular/Ovalada</t>
  </si>
  <si>
    <r>
      <rPr>
        <b/>
        <sz val="11"/>
        <color indexed="9"/>
        <rFont val="Arial Narrow"/>
        <family val="2"/>
      </rPr>
      <t xml:space="preserve">C.3 </t>
    </r>
    <r>
      <rPr>
        <sz val="11"/>
        <color indexed="9"/>
        <rFont val="Arial Narrow"/>
        <family val="2"/>
      </rPr>
      <t>: TABLERO DE RODADURA</t>
    </r>
  </si>
  <si>
    <t>ARTESANALES</t>
  </si>
  <si>
    <t>{Sección 3}</t>
  </si>
  <si>
    <t xml:space="preserve">  Vigas de Troncos de Arboles</t>
  </si>
  <si>
    <t xml:space="preserve">  Arcos/Porticos de Mamposteria de piedra</t>
  </si>
  <si>
    <t xml:space="preserve">  Arco de Concreto Simple</t>
  </si>
  <si>
    <t>LOSA</t>
  </si>
  <si>
    <t>VIGAS</t>
  </si>
  <si>
    <t xml:space="preserve">  Losa de Concreto Reforzado con rieles de FFCC</t>
  </si>
  <si>
    <t>Material:</t>
  </si>
  <si>
    <t>Tipo:</t>
  </si>
  <si>
    <t>Espesor:</t>
  </si>
  <si>
    <t>Nº de Vigas</t>
  </si>
  <si>
    <t>ELEMENTOS SECUNDARIOS</t>
  </si>
  <si>
    <t>VIGA</t>
  </si>
  <si>
    <t>MIXTA</t>
  </si>
  <si>
    <t>Superficie de Desgaste:</t>
  </si>
  <si>
    <t>Material</t>
  </si>
  <si>
    <t>CAJON</t>
  </si>
  <si>
    <t>Espesor de Sup.desgaste</t>
  </si>
  <si>
    <t>Forma:</t>
  </si>
  <si>
    <t>Separación/ejes</t>
  </si>
  <si>
    <t>RETICULADO</t>
  </si>
  <si>
    <t>TABLERO SUEPRIOR</t>
  </si>
  <si>
    <t>Peralte:</t>
  </si>
  <si>
    <t>Ancho-Base</t>
  </si>
  <si>
    <t>{Si Nº de tramos &gt; 1 y son desiguales, Sección 4}</t>
  </si>
  <si>
    <t>{Sección 4}</t>
  </si>
  <si>
    <r>
      <rPr>
        <b/>
        <sz val="11"/>
        <color indexed="9"/>
        <rFont val="Arial Narrow"/>
        <family val="2"/>
      </rPr>
      <t>C.4</t>
    </r>
    <r>
      <rPr>
        <sz val="11"/>
        <color indexed="9"/>
        <rFont val="Arial Narrow"/>
        <family val="2"/>
      </rPr>
      <t xml:space="preserve"> : SUBESTRUCTURA</t>
    </r>
  </si>
  <si>
    <t>{Sección 5}</t>
  </si>
  <si>
    <t>Estribo Izquierdo</t>
  </si>
  <si>
    <t>Estribo Derecho</t>
  </si>
  <si>
    <t>Elevación</t>
  </si>
  <si>
    <t>Cimentación:</t>
  </si>
  <si>
    <t>{Si Nº de tramos &gt; 1, continua Subsección b}</t>
  </si>
  <si>
    <t>Tramos</t>
  </si>
  <si>
    <t>Categoría/Tipo</t>
  </si>
  <si>
    <t>Iguales</t>
  </si>
  <si>
    <t>Desiguales</t>
  </si>
  <si>
    <t>Losa</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</si>
  <si>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</si>
  <si>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</si>
  <si>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</si>
  <si>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</si>
  <si>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</si>
  <si>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</si>
  <si>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</si>
  <si>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</si>
  <si>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</si>
  <si>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</si>
  <si>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</si>
  <si>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</si>
  <si>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</si>
  <si>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</si>
  <si>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Atirantado</t>
  </si>
  <si>
    <t>Cond. De Borde</t>
  </si>
  <si>
    <t>Mat. Predominante Tramo</t>
  </si>
  <si>
    <t>Material-Losa</t>
  </si>
  <si>
    <t>Supericie de Desgaste</t>
  </si>
  <si>
    <t>Simp. Apoyado</t>
  </si>
  <si>
    <t>Concreto armado</t>
  </si>
  <si>
    <t>Concreto Armado</t>
  </si>
  <si>
    <t>Asfalto</t>
  </si>
  <si>
    <t>Continuo</t>
  </si>
  <si>
    <t>Concreto Pretensado</t>
  </si>
  <si>
    <t>Concreto (Vaciado con Losa)</t>
  </si>
  <si>
    <t>Gerber</t>
  </si>
  <si>
    <t>Acero Estructural</t>
  </si>
  <si>
    <t>Plancha Metálica corrugada</t>
  </si>
  <si>
    <t>Concreto Pobre</t>
  </si>
  <si>
    <t>Articulado</t>
  </si>
  <si>
    <t>Cables de Acero</t>
  </si>
  <si>
    <t>Madera</t>
  </si>
  <si>
    <t>Empotrado</t>
  </si>
  <si>
    <t>Planchas de Acero Corrugado</t>
  </si>
  <si>
    <t>Metálica</t>
  </si>
  <si>
    <t>Sob. El terreno</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</si>
  <si>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</si>
  <si>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</si>
  <si>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</si>
  <si>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</si>
  <si>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</si>
  <si>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</si>
  <si>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</si>
  <si>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</si>
  <si>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</si>
  <si>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</si>
  <si>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</si>
  <si>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</si>
  <si>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</si>
  <si>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</si>
  <si>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</si>
  <si>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Gravedad</t>
  </si>
  <si>
    <t>Concreto Simple</t>
  </si>
  <si>
    <t>Zapata</t>
  </si>
  <si>
    <t>Cantilever</t>
  </si>
  <si>
    <t>Caisson</t>
  </si>
  <si>
    <t>Mampostería de Piedra</t>
  </si>
  <si>
    <t>Pilotes</t>
  </si>
  <si>
    <t>Acero</t>
  </si>
  <si>
    <t>Cajon</t>
  </si>
  <si>
    <t>Sin datos</t>
  </si>
  <si>
    <t>Pilares</t>
  </si>
  <si>
    <t>NO APLICA</t>
  </si>
  <si>
    <t>Pilar 1</t>
  </si>
  <si>
    <t>Pilar 2</t>
  </si>
  <si>
    <t>Pilar 3, 4 y 5</t>
  </si>
  <si>
    <t>Cimentación</t>
  </si>
  <si>
    <t>Macizos/Cámaras de Anclaje</t>
  </si>
  <si>
    <t>Izquierdo</t>
  </si>
  <si>
    <t>Derecho</t>
  </si>
  <si>
    <t>PILARES</t>
  </si>
  <si>
    <t>Material de Elevación</t>
  </si>
  <si>
    <t>Tipo-Cimentación</t>
  </si>
  <si>
    <t>Columna Capitel</t>
  </si>
  <si>
    <t>Columna Tarjeta</t>
  </si>
  <si>
    <t>MACIZOS/CAMARAS DE ANCALJE</t>
  </si>
  <si>
    <t>Macizo</t>
  </si>
  <si>
    <t>Hueco</t>
  </si>
  <si>
    <r>
      <rPr>
        <b/>
        <sz val="11"/>
        <color indexed="9"/>
        <rFont val="Arial Narrow"/>
        <family val="2"/>
      </rPr>
      <t>C.5</t>
    </r>
    <r>
      <rPr>
        <sz val="11"/>
        <color indexed="9"/>
        <rFont val="Arial Narrow"/>
        <family val="2"/>
      </rPr>
      <t xml:space="preserve">  :DETALLES</t>
    </r>
  </si>
  <si>
    <t>{Sección 6}</t>
  </si>
  <si>
    <t>Barandas</t>
  </si>
  <si>
    <t>Veredas y Sardineles</t>
  </si>
  <si>
    <t>Tipo</t>
  </si>
  <si>
    <t>(Igual a B7)</t>
  </si>
  <si>
    <t>Altura Sardinel:</t>
  </si>
  <si>
    <t>Apoyos</t>
  </si>
  <si>
    <t>Apoyo 1</t>
  </si>
  <si>
    <t>Apoyo 2</t>
  </si>
  <si>
    <t>Ubicación:</t>
  </si>
  <si>
    <t>Número:</t>
  </si>
  <si>
    <t>{Subsección d}</t>
  </si>
  <si>
    <t>NO HAY</t>
  </si>
  <si>
    <t>Juntas de Expansión</t>
  </si>
  <si>
    <t xml:space="preserve">No Aplica </t>
  </si>
  <si>
    <t>{Subsección e}</t>
  </si>
  <si>
    <t>Drenaje Calzada</t>
  </si>
  <si>
    <r>
      <rPr>
        <b/>
        <sz val="11"/>
        <color indexed="9"/>
        <rFont val="Arial Narrow"/>
        <family val="2"/>
      </rPr>
      <t>C.6</t>
    </r>
    <r>
      <rPr>
        <sz val="11"/>
        <color indexed="9"/>
        <rFont val="Arial Narrow"/>
        <family val="2"/>
      </rPr>
      <t xml:space="preserve"> : ACCESOS</t>
    </r>
  </si>
  <si>
    <t>{Sección 7}</t>
  </si>
  <si>
    <t>Acceso Izquierdo</t>
  </si>
  <si>
    <t>Acceso Derecho</t>
  </si>
  <si>
    <t>Longitud de Transición:</t>
  </si>
  <si>
    <t>Alineamiento respecto al puente</t>
  </si>
  <si>
    <t>Ancho Total de Bermas</t>
  </si>
  <si>
    <t>Pendiente Alta:</t>
  </si>
  <si>
    <t>Visibilidad:</t>
  </si>
  <si>
    <t>Tipo-Barandas</t>
  </si>
  <si>
    <t>Material-Barandas</t>
  </si>
  <si>
    <t>Material-Veredas</t>
  </si>
  <si>
    <t>Tipo-Apoyos</t>
  </si>
  <si>
    <t>Mat-Apoyos</t>
  </si>
  <si>
    <t>Caract secund barandas</t>
  </si>
  <si>
    <t>Postes y pasamanos</t>
  </si>
  <si>
    <t>Concreto</t>
  </si>
  <si>
    <t>Articulado Fijo</t>
  </si>
  <si>
    <t>1 pasamano</t>
  </si>
  <si>
    <t>Parapeto</t>
  </si>
  <si>
    <t>Deslizante</t>
  </si>
  <si>
    <t>Elastomero</t>
  </si>
  <si>
    <t>2 pasamanos</t>
  </si>
  <si>
    <t>Guardavias</t>
  </si>
  <si>
    <t>Roller</t>
  </si>
  <si>
    <t>3 pasamanos</t>
  </si>
  <si>
    <t>No hay</t>
  </si>
  <si>
    <t>Mixto</t>
  </si>
  <si>
    <t>Rocker</t>
  </si>
  <si>
    <t>Flexcel</t>
  </si>
  <si>
    <t>New Jersey</t>
  </si>
  <si>
    <t>Eslabon y pin</t>
  </si>
  <si>
    <t>Parapeto con 1 pasamano</t>
  </si>
  <si>
    <t>Tipo-Juntas</t>
  </si>
  <si>
    <t>Material-Juntas</t>
  </si>
  <si>
    <t>Tipo-Drenaje</t>
  </si>
  <si>
    <t>Material-Drenaje</t>
  </si>
  <si>
    <t>Vacio</t>
  </si>
  <si>
    <t>Tubo</t>
  </si>
  <si>
    <t>Paralelo</t>
  </si>
  <si>
    <t>Planchas Deslizantes</t>
  </si>
  <si>
    <t>Jebe</t>
  </si>
  <si>
    <t>Canaleta</t>
  </si>
  <si>
    <t>Perpendicular</t>
  </si>
  <si>
    <t>Tipo Peine</t>
  </si>
  <si>
    <t>Mastic Epoxico</t>
  </si>
  <si>
    <t>PVC</t>
  </si>
  <si>
    <t>Inclinado</t>
  </si>
  <si>
    <t>Tipo Comprensible/Expansible</t>
  </si>
  <si>
    <t>No tiene</t>
  </si>
  <si>
    <t>Curva a</t>
  </si>
  <si>
    <t>Visibilidad</t>
  </si>
  <si>
    <t>Buena</t>
  </si>
  <si>
    <t>Si</t>
  </si>
  <si>
    <t>Regular</t>
  </si>
  <si>
    <t>No</t>
  </si>
  <si>
    <t>Mala</t>
  </si>
  <si>
    <r>
      <rPr>
        <b/>
        <sz val="11"/>
        <color indexed="9"/>
        <rFont val="Arial Narrow"/>
        <family val="2"/>
      </rPr>
      <t xml:space="preserve">C.7 </t>
    </r>
    <r>
      <rPr>
        <sz val="11"/>
        <color indexed="9"/>
        <rFont val="Arial Narrow"/>
        <family val="2"/>
      </rPr>
      <t>: SEGURIDAD VIAL</t>
    </r>
  </si>
  <si>
    <t>{Sección 8}</t>
  </si>
  <si>
    <t>Señal Informativa:</t>
  </si>
  <si>
    <t>Señal Preventiva</t>
  </si>
  <si>
    <t>Señal Reglamentaria</t>
  </si>
  <si>
    <t>Señalización Horizontal:</t>
  </si>
  <si>
    <t>C.8 : SOBRECARGA</t>
  </si>
  <si>
    <t>{Sección 9}</t>
  </si>
  <si>
    <t>Carga de Diseño:</t>
  </si>
  <si>
    <t>(Igual a B6)</t>
  </si>
  <si>
    <t>Carga Máxima Actual:</t>
  </si>
  <si>
    <t>(Según estudio de transito)</t>
  </si>
  <si>
    <t>Carga en el Futuro</t>
  </si>
  <si>
    <t>Sobreesfuerzo:</t>
  </si>
  <si>
    <t>Señalización de Carga:</t>
  </si>
  <si>
    <t>C.9  :RUTA ALTERNA</t>
  </si>
  <si>
    <t>{Sección 10}</t>
  </si>
  <si>
    <t>Tipo: Otras Rutas</t>
  </si>
  <si>
    <t>Vado</t>
  </si>
  <si>
    <t>Puente Paralelo</t>
  </si>
  <si>
    <t>Dist de Puente:</t>
  </si>
  <si>
    <t>Posibilidad a Construir:</t>
  </si>
  <si>
    <t>Período de Funcionamiento:</t>
  </si>
  <si>
    <t>Profund de Aguas Mínimas</t>
  </si>
  <si>
    <t>Substructura</t>
  </si>
  <si>
    <t>Naturaleza del Suelo:</t>
  </si>
  <si>
    <t>Variante Existente:</t>
  </si>
  <si>
    <t>Necesidad de Construirlo</t>
  </si>
  <si>
    <t>C 10  : CONDICIÓN DEL SECTOR DE LA CARRETERA</t>
  </si>
  <si>
    <t>{Sección 11}</t>
  </si>
  <si>
    <t>Cond.Carretera:</t>
  </si>
  <si>
    <t>Cartel del Puente</t>
  </si>
  <si>
    <t>Cartel Rombo Amarillo-Curvas</t>
  </si>
  <si>
    <t>Cartel Rombo Amarillo-Intersecciones</t>
  </si>
  <si>
    <t>Cartel Rombo Amarillo-Pendientes Altas</t>
  </si>
  <si>
    <t>Existe otro puente paralelo</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</si>
  <si>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</si>
  <si>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</si>
  <si>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</si>
  <si>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</si>
  <si>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</si>
  <si>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</si>
  <si>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</si>
  <si>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</si>
  <si>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</si>
  <si>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</si>
  <si>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</si>
  <si>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</si>
  <si>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Muy mala</t>
  </si>
  <si>
    <t>Arena</t>
  </si>
  <si>
    <t>Arcilla</t>
  </si>
  <si>
    <r>
      <rPr>
        <b/>
        <sz val="11"/>
        <color indexed="8"/>
        <rFont val="Arial Narrow"/>
        <family val="2"/>
      </rPr>
      <t>SECCION (D</t>
    </r>
    <r>
      <rPr>
        <sz val="11"/>
        <color indexed="8"/>
        <rFont val="Arial Narrow"/>
        <family val="2"/>
      </rPr>
      <t>) : DATOS TOPOGRAFICOS DE SUELOS E HIDROLOGICOS</t>
    </r>
  </si>
  <si>
    <t>D.1 : SUELO DE CIMENTACIÓN</t>
  </si>
  <si>
    <t>Estribo Izq</t>
  </si>
  <si>
    <t>Estribo Der</t>
  </si>
  <si>
    <t>Pilar 3</t>
  </si>
  <si>
    <t>Comentarios</t>
  </si>
  <si>
    <t>D.2 :NIVELES DE LAS AGUAS</t>
  </si>
  <si>
    <t>Aguas Máximas:</t>
  </si>
  <si>
    <t>Periodo de Aguas Maximas:</t>
  </si>
  <si>
    <t>Aguas Mínimas:</t>
  </si>
  <si>
    <t>Período de Estiaje</t>
  </si>
  <si>
    <t>Aguas Extraordinarias:</t>
  </si>
  <si>
    <t>Frecuencia de Retorno</t>
  </si>
  <si>
    <t>Referido a la misma cota con que se ha medido el perfil longitudinal</t>
  </si>
  <si>
    <t>Galibo determinado en Campo:</t>
  </si>
  <si>
    <t>Fecha (dd/mm/aa):</t>
  </si>
  <si>
    <t>Galibo obtenido del Plano:</t>
  </si>
  <si>
    <t>Galibo Aguas Máximas:</t>
  </si>
  <si>
    <t>D.3 : CAPACIDAD HIDRAULICA DEL PUENTE</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</si>
  <si>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</si>
  <si>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</si>
  <si>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</si>
  <si>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</si>
  <si>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</si>
  <si>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</si>
  <si>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</si>
  <si>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</si>
  <si>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</si>
  <si>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Aluvional</t>
  </si>
  <si>
    <t>D.4 :PERFIL LONGITUDINAL DEL TERRENO</t>
  </si>
  <si>
    <t>Num Ptos:</t>
  </si>
  <si>
    <t>Pto fijo</t>
  </si>
  <si>
    <t>aguas abajo</t>
  </si>
  <si>
    <t>centro</t>
  </si>
  <si>
    <t>aguas arriba</t>
  </si>
  <si>
    <t>Distancia desde un Punto Fijo</t>
  </si>
  <si>
    <t>Aguas Abajo</t>
  </si>
  <si>
    <t>Aguas Arriba</t>
  </si>
  <si>
    <t>eje</t>
  </si>
  <si>
    <t>EJE</t>
  </si>
  <si>
    <t>Protección Contra Socavación:</t>
  </si>
  <si>
    <t>Proteccion contra socavacion</t>
  </si>
  <si>
    <t>SECCION ( E ) : CROQUIS DEL PUENTE</t>
  </si>
  <si>
    <t>NOMBRE :</t>
  </si>
  <si>
    <t>Ruta  :</t>
  </si>
  <si>
    <t>Progresiva :</t>
  </si>
  <si>
    <t>ELEVACION</t>
  </si>
  <si>
    <t>PLANTA</t>
  </si>
  <si>
    <t>SECCION TRANSVERSAL</t>
  </si>
  <si>
    <t>SECCION (F): CONDICION DEL PUENTE</t>
  </si>
  <si>
    <t>Puente :</t>
  </si>
  <si>
    <t>Ruta :</t>
  </si>
  <si>
    <t>Progresiva:</t>
  </si>
  <si>
    <t>F.2  :CONDICION GLOBAL DEL PUENTE</t>
  </si>
  <si>
    <t>Bueno</t>
  </si>
  <si>
    <t>Preocupante</t>
  </si>
  <si>
    <t>Pesimo</t>
  </si>
  <si>
    <t>Excelente</t>
  </si>
  <si>
    <t>Malo</t>
  </si>
  <si>
    <t>Inspector</t>
  </si>
  <si>
    <t>Fecha de Inspeccion</t>
  </si>
  <si>
    <t>Supervisor</t>
  </si>
  <si>
    <t>Fecha  de Revision</t>
  </si>
  <si>
    <t>Elemento</t>
  </si>
  <si>
    <t>Descripcion</t>
  </si>
  <si>
    <t>I.   SUPERESTRUCTURA</t>
  </si>
  <si>
    <t>II.  SUBESTRUCTURA</t>
  </si>
  <si>
    <t>III. DETALLES</t>
  </si>
  <si>
    <t>IV. CAUCE</t>
  </si>
  <si>
    <t>V.  ACCESOS</t>
  </si>
  <si>
    <t>F.2 PANEL FOTOGRAFICO</t>
  </si>
  <si>
    <t>SI</t>
  </si>
  <si>
    <t>NO</t>
  </si>
  <si>
    <t xml:space="preserve">NOMBRE </t>
  </si>
  <si>
    <t>RUTA</t>
  </si>
  <si>
    <t>PROGRESIVA</t>
  </si>
  <si>
    <t>LISTA DE FOTOGRAFIAS</t>
  </si>
  <si>
    <t xml:space="preserve">NRO. </t>
  </si>
  <si>
    <t xml:space="preserve">FECHA </t>
  </si>
  <si>
    <t xml:space="preserve">DESCRIPCION </t>
  </si>
  <si>
    <t xml:space="preserve">DIGITAL </t>
  </si>
  <si>
    <t>G.1 : CONDICION ESTADISTICA DEL PUENTE</t>
  </si>
  <si>
    <t>Ruta:</t>
  </si>
  <si>
    <t>PROGRESIVA :</t>
  </si>
  <si>
    <t>tabla 1</t>
  </si>
  <si>
    <t>CODIGO</t>
  </si>
  <si>
    <t>METRADO</t>
  </si>
  <si>
    <t>UND.</t>
  </si>
  <si>
    <t xml:space="preserve">Factor de Importancia </t>
  </si>
  <si>
    <t>CALIFICACION (%)</t>
  </si>
  <si>
    <t>CONDICION ESTADISTICA DEL PUENTE</t>
  </si>
  <si>
    <t>Muy Bueno</t>
  </si>
  <si>
    <t>Satisfactorio</t>
  </si>
  <si>
    <t>Marginal</t>
  </si>
  <si>
    <t>Pobre</t>
  </si>
  <si>
    <t>Muy Pobre</t>
  </si>
  <si>
    <t>verificaciones</t>
  </si>
  <si>
    <t>SI(A26=0," ",BUSCARV(A26,'CONDICION ESTADISTICA'!$B$143:$D$235,3))</t>
  </si>
  <si>
    <t>tabla 2</t>
  </si>
  <si>
    <t>AJUSTES DE PORCENTAJE POR UMBRAL (%campo * 100 / %umbral)</t>
  </si>
  <si>
    <t xml:space="preserve">CALIFICACION </t>
  </si>
  <si>
    <t>OBSERVACIONES</t>
  </si>
  <si>
    <t>tabla 3</t>
  </si>
  <si>
    <t>SUMA DE PORCENTAJES AJUSTADOS DE CONDIC PARA C/ELEM (hasta pasar el 100%)</t>
  </si>
  <si>
    <t>tabla 4</t>
  </si>
  <si>
    <t>REAJUSTE DE VALORES PARA SUMAR 100% (eliminar valores negativos)</t>
  </si>
  <si>
    <t>verificacion</t>
  </si>
  <si>
    <t>tabla 5</t>
  </si>
  <si>
    <t>CONDICION ESTADISTICA USANDO EL QUINTO MOMENTO</t>
  </si>
  <si>
    <t>Condicion Estadistica Puente</t>
  </si>
  <si>
    <t>suma</t>
  </si>
  <si>
    <t>raiz5</t>
  </si>
  <si>
    <t>Factor importancia</t>
  </si>
  <si>
    <t>contribucion</t>
  </si>
  <si>
    <t>Número de Elementos del puente</t>
  </si>
  <si>
    <t>CALIFICACION</t>
  </si>
  <si>
    <t>RANGO CONDICION</t>
  </si>
  <si>
    <t>Mayor valor de contribución</t>
  </si>
  <si>
    <t xml:space="preserve">MUY BUENO </t>
  </si>
  <si>
    <t>0.00-0.99</t>
  </si>
  <si>
    <t>Suma de contribución de todos los elementos</t>
  </si>
  <si>
    <t xml:space="preserve">BUENO </t>
  </si>
  <si>
    <t>1.00-1.99</t>
  </si>
  <si>
    <t>Contribución remanente: suma - mayor</t>
  </si>
  <si>
    <t xml:space="preserve">REGULAR </t>
  </si>
  <si>
    <t>2.00-2.99</t>
  </si>
  <si>
    <t>Fracción de contribución remanente</t>
  </si>
  <si>
    <t xml:space="preserve">MALO </t>
  </si>
  <si>
    <t>3.00-3.99</t>
  </si>
  <si>
    <t>Condicion Estadística del Puente</t>
  </si>
  <si>
    <t xml:space="preserve">MUY MALO </t>
  </si>
  <si>
    <t>4.00-4.99</t>
  </si>
  <si>
    <t xml:space="preserve">PESIMO </t>
  </si>
  <si>
    <t>5.00-5.99</t>
  </si>
  <si>
    <t>COMENTARIOS : La condición del puente resulta como</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</si>
  <si>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</si>
  <si>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</si>
  <si>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</si>
  <si>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</si>
  <si>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</si>
  <si>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</si>
  <si>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</si>
  <si>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</si>
  <si>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ELLEMENTOS CONFORMANTES DE UN PUENTE Y SU IMPORTANCIA</t>
  </si>
  <si>
    <t>Item</t>
  </si>
  <si>
    <t>Codif. Elemento</t>
  </si>
  <si>
    <t>Unidad</t>
  </si>
  <si>
    <t>Factor Importancia</t>
  </si>
  <si>
    <t>ELEMENTO</t>
  </si>
  <si>
    <t>Losa de concreto armado (Refuerzo longitudinal)</t>
  </si>
  <si>
    <t>m3</t>
  </si>
  <si>
    <t>SUPERESTRUCTURA</t>
  </si>
  <si>
    <t>Losa de concreto pretensado (Pretensado Longitudinal)</t>
  </si>
  <si>
    <t>MACRO</t>
  </si>
  <si>
    <t>Losa de Concreto Simple</t>
  </si>
  <si>
    <t xml:space="preserve">Losa de concreto armado (Refuerzo Transversal) </t>
  </si>
  <si>
    <t>Losa de concreto pretensado (Pretensado Transversal)</t>
  </si>
  <si>
    <t>Plancha Metálica Corrugada</t>
  </si>
  <si>
    <t>m2</t>
  </si>
  <si>
    <t>Tablero de Madera</t>
  </si>
  <si>
    <t>ft.2</t>
  </si>
  <si>
    <t>Viga Principales concreto armado</t>
  </si>
  <si>
    <t>Vigas Secundarias de concreto armado</t>
  </si>
  <si>
    <t>Vigas Principales de concreto pretensado</t>
  </si>
  <si>
    <t>Vigas Secundarias de concreto Pretensado</t>
  </si>
  <si>
    <t>Vigas Principales de Acero Estructural</t>
  </si>
  <si>
    <t>kg</t>
  </si>
  <si>
    <t>Vigas Secundarias de Acero</t>
  </si>
  <si>
    <t>Vigas de Madera</t>
  </si>
  <si>
    <t>Arriostres de Acero</t>
  </si>
  <si>
    <t>Columnas de concreto armado</t>
  </si>
  <si>
    <t>Columnas de concreto pretensado</t>
  </si>
  <si>
    <t>Columna de acero estructural</t>
  </si>
  <si>
    <t>Muros de Concreto Armado</t>
  </si>
  <si>
    <t>Muros de Concreto Simple</t>
  </si>
  <si>
    <t>Tirante de Concreto Pretensado en pórticos</t>
  </si>
  <si>
    <t>Arco de concreto armado</t>
  </si>
  <si>
    <t>Arco de acero estructural</t>
  </si>
  <si>
    <t>Bridas superior e inferior, Montantes y Diagonales de Acero</t>
  </si>
  <si>
    <t>Vigas Transversales y Largueros de Acero</t>
  </si>
  <si>
    <t>Estructura Metálica Bailey</t>
  </si>
  <si>
    <t>und.</t>
  </si>
  <si>
    <t>Cables Principales de Acero</t>
  </si>
  <si>
    <t>Barras de Anclaje en puentes colgantes</t>
  </si>
  <si>
    <t>Torres de Acero</t>
  </si>
  <si>
    <t>Péndolas de Acero con Sockets</t>
  </si>
  <si>
    <t>Accesorios (Sillas de Montar, Montura de Péndolas) en ptes colgantes</t>
  </si>
  <si>
    <t>Vigas de Rigidez</t>
  </si>
  <si>
    <t>Muros de Concreto Armado Alcantarilla</t>
  </si>
  <si>
    <t>Relleno</t>
  </si>
  <si>
    <t>Plancha Metálica Corrugada (TMC)</t>
  </si>
  <si>
    <t>Elevación Cuerpo del Estribo de Concreto Simple</t>
  </si>
  <si>
    <t>SUBESTRUCTURA</t>
  </si>
  <si>
    <t>Elevación Cuerpo del Estribo de Concreto Armado</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</si>
  <si>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</si>
  <si>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</si>
  <si>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</si>
  <si>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</si>
  <si>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</si>
  <si>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</si>
  <si>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</si>
  <si>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</si>
  <si>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</si>
  <si>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</si>
  <si>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</si>
  <si>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</si>
  <si>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</si>
  <si>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</si>
  <si>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Elevación de Pilares Concreto Simple</t>
  </si>
  <si>
    <t>Elevación de Pilares Concreto Armado</t>
  </si>
  <si>
    <t>Elevación de Pilares de Madera</t>
  </si>
  <si>
    <t>Elevación de Pilares de Manposteria de Piedra</t>
  </si>
  <si>
    <t>Capa Asfalto</t>
  </si>
  <si>
    <t>DETALLES</t>
  </si>
  <si>
    <t>Capa Concreto Pobre</t>
  </si>
  <si>
    <t>Tablones de Madera</t>
  </si>
  <si>
    <t>Vereda Concreto</t>
  </si>
  <si>
    <t>Vereda Acero</t>
  </si>
  <si>
    <t>Vereda de Madera</t>
  </si>
  <si>
    <t>Apoyo fijo Neopreno</t>
  </si>
  <si>
    <t>Apoyo deslizante de neopreno</t>
  </si>
  <si>
    <t>Apoyo Deslizante Acero</t>
  </si>
  <si>
    <t>Apoyo articulado de acero</t>
  </si>
  <si>
    <t>Apoyo Roller Acero</t>
  </si>
  <si>
    <t>Apoyo Rocker Acero</t>
  </si>
  <si>
    <t>Apoyo articulado Concreto</t>
  </si>
  <si>
    <t>Apoyo Rocker de Concreto</t>
  </si>
  <si>
    <t>Apoyo Eslabón y Pin (Vigas Gerber)</t>
  </si>
  <si>
    <t>ml</t>
  </si>
  <si>
    <t>Tipo Compresible / Expandible Celular</t>
  </si>
  <si>
    <t>Junta de Expansión, Tipo Compresible / Expandible Sólido</t>
  </si>
  <si>
    <t>Barandas de Madera</t>
  </si>
  <si>
    <t>Barandas de Concreto</t>
  </si>
  <si>
    <t>Barandas de Acero</t>
  </si>
  <si>
    <t>Parapeto de Concreto Armado</t>
  </si>
  <si>
    <t>Guardavías</t>
  </si>
  <si>
    <t>Tuberías Metálicas</t>
  </si>
  <si>
    <t>Tuberías PVC</t>
  </si>
  <si>
    <t>Márgenes del río</t>
  </si>
  <si>
    <t>CAUCE</t>
  </si>
  <si>
    <t>Lecho del río</t>
  </si>
  <si>
    <t>Barrajes</t>
  </si>
  <si>
    <t>Dique</t>
  </si>
  <si>
    <t>Enrocado</t>
  </si>
  <si>
    <t>Gaviones</t>
  </si>
  <si>
    <t>Muro de Concreto Simple.</t>
  </si>
  <si>
    <t>Muro de Concreto Armado – Cauce</t>
  </si>
  <si>
    <t>Solado Concreto Simple</t>
  </si>
  <si>
    <t>Solado Concreto</t>
  </si>
  <si>
    <t>Señalización</t>
  </si>
  <si>
    <t>ACCESOS</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</si>
  <si>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</si>
  <si>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</si>
  <si>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</si>
  <si>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</si>
  <si>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</si>
  <si>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</si>
  <si>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</si>
  <si>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</si>
  <si>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</si>
  <si>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</si>
  <si>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GUIA PARA LA INSPECCION, EVALUACION Y MANTENIMIENTO DE PUENTES</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</si>
  <si>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</si>
  <si>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</si>
  <si>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</si>
  <si>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</si>
  <si>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</si>
  <si>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</si>
  <si>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</si>
  <si>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</si>
  <si>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</si>
  <si>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</si>
  <si>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</si>
  <si>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</si>
  <si>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</si>
  <si>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</si>
  <si>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</si>
  <si>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</si>
  <si>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</si>
  <si>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Total %</t>
  </si>
  <si>
    <t>Muy pobre</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</si>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</sst>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dd/mm/yyyy;@"/>
    <numFmt numFmtId="166" formatCode="_-* #,##0.00\ [$€]_-;\-* #,##0.00\ [$€]_-;_-* &quot;-&quot;??\ [$€]_-;_-@_-"/>
    <numFmt numFmtId="167" formatCode="0.000"/>
    <numFmt numFmtId="168" formatCode="#\+###"/>
    <numFmt numFmtId="169" formatCode="0.00&quot;m&quot;"/>
    <numFmt numFmtId="170" formatCode="0.00&quot;msnm&quot;"/>
    <numFmt numFmtId="171" formatCode="&quot;(&quot;0&quot;)&quot;"/>
    <numFmt numFmtId="172" formatCode="0&quot; veh/dia&quot;"/>
    <numFmt numFmtId="173" formatCode="0.00&quot;Km&quot;"/>
    <numFmt numFmtId="174" formatCode="0&quot;meses&quot;"/>
    <numFmt numFmtId="175" formatCode="0&quot;años&quot;"/>
    <numFmt numFmtId="176" formatCode="#000&quot;.jpg&quot;"/>
    <numFmt numFmtId="177" formatCode="&quot;Km&quot;\ 0\+###"/>
    <numFmt numFmtId="178" formatCode="0.00\ &quot;m&quot;"/>
  </numFmts>
  <fonts count="71"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u/>
      <sz val="10"/>
      <name val="Arial"/>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8"/>
      <color theme="1"/>
      <name val="Arial Narrow"/>
      <family val="2"/>
    </font>
    <font>
      <b/>
      <sz val="9"/>
      <color theme="1"/>
      <name val="Calibri"/>
      <family val="2"/>
      <scheme val="minor"/>
    </font>
    <font>
      <b/>
      <sz val="14"/>
      <name val="Arial"/>
      <family val="2"/>
    </font>
    <font>
      <b/>
      <sz val="10"/>
      <color rgb="FFFF0000"/>
      <name val="Arial Narrow"/>
      <family val="2"/>
    </font>
  </fonts>
  <fills count="22">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
      <patternFill patternType="solid">
        <fgColor theme="9" tint="0.79998168889431442"/>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s>
  <cellStyleXfs count="6">
    <xf numFmtId="0" fontId="0" fillId="0" borderId="0"/>
    <xf numFmtId="166" fontId="6" fillId="0" borderId="0" applyFont="0" applyFill="0" applyBorder="0" applyAlignment="0" applyProtection="0"/>
    <xf numFmtId="164" fontId="20" fillId="0" borderId="0" applyFont="0" applyFill="0" applyBorder="0" applyAlignment="0" applyProtection="0"/>
    <xf numFmtId="0" fontId="6" fillId="0" borderId="0"/>
    <xf numFmtId="0" fontId="20" fillId="0" borderId="0"/>
    <xf numFmtId="9" fontId="20" fillId="0" borderId="0" applyFont="0" applyFill="0" applyBorder="0" applyAlignment="0" applyProtection="0"/>
  </cellStyleXfs>
  <cellXfs count="813">
    <xf numFmtId="0" fontId="0" fillId="0" borderId="0" xfId="0"/>
    <xf numFmtId="0" fontId="22" fillId="0" borderId="0" xfId="0" applyFont="1"/>
    <xf numFmtId="0" fontId="23" fillId="0" borderId="0" xfId="0" applyFont="1"/>
    <xf numFmtId="0" fontId="22" fillId="0" borderId="0" xfId="0" applyFont="1" applyAlignment="1">
      <alignment horizontal="center"/>
    </xf>
    <xf numFmtId="0" fontId="22" fillId="0" borderId="73" xfId="0" applyFont="1" applyBorder="1" applyAlignment="1">
      <alignment horizontal="center"/>
    </xf>
    <xf numFmtId="0" fontId="22" fillId="0" borderId="74" xfId="0" applyFont="1" applyBorder="1"/>
    <xf numFmtId="0" fontId="22" fillId="0" borderId="75" xfId="0" applyFont="1" applyBorder="1"/>
    <xf numFmtId="0" fontId="22" fillId="0" borderId="76" xfId="0" applyFont="1" applyBorder="1"/>
    <xf numFmtId="0" fontId="22" fillId="0" borderId="77" xfId="0" applyFont="1" applyBorder="1"/>
    <xf numFmtId="0" fontId="24" fillId="0" borderId="1" xfId="0" applyFont="1" applyBorder="1"/>
    <xf numFmtId="0" fontId="22" fillId="0" borderId="78" xfId="0" applyFont="1" applyBorder="1"/>
    <xf numFmtId="0" fontId="22" fillId="0" borderId="73" xfId="0" applyFont="1" applyBorder="1"/>
    <xf numFmtId="0" fontId="22" fillId="0" borderId="79" xfId="0" applyFont="1" applyBorder="1"/>
    <xf numFmtId="0" fontId="22" fillId="0" borderId="80" xfId="0" applyFont="1" applyBorder="1"/>
    <xf numFmtId="0" fontId="24" fillId="0" borderId="0" xfId="0" applyFont="1" applyAlignment="1">
      <alignment horizontal="left"/>
    </xf>
    <xf numFmtId="4" fontId="22" fillId="0" borderId="0" xfId="0" applyNumberFormat="1" applyFont="1"/>
    <xf numFmtId="0" fontId="24" fillId="0" borderId="73" xfId="0" applyFont="1" applyBorder="1"/>
    <xf numFmtId="0" fontId="24" fillId="0" borderId="2" xfId="0" applyFont="1" applyBorder="1"/>
    <xf numFmtId="0" fontId="24" fillId="0" borderId="3" xfId="0" applyFont="1" applyBorder="1"/>
    <xf numFmtId="0" fontId="25" fillId="0" borderId="0" xfId="0" applyFont="1"/>
    <xf numFmtId="0" fontId="25" fillId="0" borderId="4" xfId="0" applyFont="1" applyBorder="1"/>
    <xf numFmtId="0" fontId="25" fillId="0" borderId="0" xfId="0" applyFont="1" applyAlignment="1">
      <alignment horizontal="center"/>
    </xf>
    <xf numFmtId="0" fontId="25" fillId="0" borderId="0" xfId="0" applyFont="1" applyAlignment="1">
      <alignment vertical="center" wrapText="1"/>
    </xf>
    <xf numFmtId="0" fontId="25" fillId="0" borderId="0" xfId="0" applyFont="1" applyAlignment="1">
      <alignment horizontal="center" vertical="center" wrapText="1"/>
    </xf>
    <xf numFmtId="0" fontId="24" fillId="0" borderId="0" xfId="0" applyFont="1"/>
    <xf numFmtId="0" fontId="22" fillId="0" borderId="81" xfId="0" applyFont="1" applyBorder="1"/>
    <xf numFmtId="0" fontId="22" fillId="0" borderId="82" xfId="0" applyFont="1" applyBorder="1"/>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4" fontId="22" fillId="0" borderId="77" xfId="0" applyNumberFormat="1" applyFont="1" applyBorder="1"/>
    <xf numFmtId="0" fontId="22" fillId="0" borderId="5" xfId="0" applyFont="1" applyBorder="1"/>
    <xf numFmtId="0" fontId="22" fillId="0" borderId="1" xfId="0" applyFont="1" applyBorder="1"/>
    <xf numFmtId="0" fontId="24" fillId="0" borderId="1" xfId="0" applyFont="1" applyBorder="1" applyAlignment="1">
      <alignment horizontal="center"/>
    </xf>
    <xf numFmtId="0" fontId="26" fillId="0" borderId="0" xfId="0" applyFont="1"/>
    <xf numFmtId="0" fontId="27" fillId="0" borderId="0" xfId="0" applyFont="1"/>
    <xf numFmtId="0" fontId="28" fillId="0" borderId="0" xfId="0" applyFont="1"/>
    <xf numFmtId="0" fontId="28" fillId="0" borderId="0" xfId="0" applyFont="1" applyAlignment="1">
      <alignment vertical="center" wrapText="1"/>
    </xf>
    <xf numFmtId="0" fontId="24" fillId="0" borderId="0" xfId="0" applyFont="1" applyAlignment="1">
      <alignment horizontal="center"/>
    </xf>
    <xf numFmtId="0" fontId="22" fillId="0" borderId="83" xfId="0" applyFont="1" applyBorder="1"/>
    <xf numFmtId="0" fontId="22" fillId="8" borderId="1" xfId="0" applyFont="1" applyFill="1" applyBorder="1" applyAlignment="1">
      <alignment vertical="center" wrapText="1"/>
    </xf>
    <xf numFmtId="0" fontId="22" fillId="0" borderId="84" xfId="0" applyFont="1" applyBorder="1"/>
    <xf numFmtId="0" fontId="28" fillId="0" borderId="75" xfId="0" applyFont="1" applyBorder="1"/>
    <xf numFmtId="0" fontId="28" fillId="0" borderId="76" xfId="0" applyFont="1" applyBorder="1"/>
    <xf numFmtId="0" fontId="28" fillId="0" borderId="77" xfId="0" applyFont="1" applyBorder="1"/>
    <xf numFmtId="0" fontId="3" fillId="0" borderId="0" xfId="0" applyFont="1"/>
    <xf numFmtId="0" fontId="24" fillId="0" borderId="6" xfId="0" applyFont="1" applyBorder="1"/>
    <xf numFmtId="0" fontId="24" fillId="0" borderId="3" xfId="0" applyFont="1" applyBorder="1" applyAlignment="1">
      <alignment horizontal="center"/>
    </xf>
    <xf numFmtId="0" fontId="3" fillId="0" borderId="1" xfId="0" applyFont="1" applyBorder="1"/>
    <xf numFmtId="0" fontId="28" fillId="0" borderId="73" xfId="0" applyFont="1" applyBorder="1"/>
    <xf numFmtId="0" fontId="28" fillId="0" borderId="79" xfId="0" applyFont="1" applyBorder="1"/>
    <xf numFmtId="0" fontId="25" fillId="0" borderId="0" xfId="0" applyFont="1" applyAlignment="1">
      <alignment horizontal="left"/>
    </xf>
    <xf numFmtId="0" fontId="22" fillId="0" borderId="0" xfId="0" applyFont="1" applyAlignment="1">
      <alignment horizontal="left"/>
    </xf>
    <xf numFmtId="0" fontId="28" fillId="0" borderId="0" xfId="0" applyFont="1" applyAlignment="1">
      <alignment horizontal="left"/>
    </xf>
    <xf numFmtId="0" fontId="22" fillId="9" borderId="1" xfId="0" applyFont="1" applyFill="1" applyBorder="1" applyAlignment="1">
      <alignment vertical="center" wrapText="1"/>
    </xf>
    <xf numFmtId="0" fontId="22" fillId="10" borderId="1" xfId="0" applyFont="1" applyFill="1" applyBorder="1" applyAlignment="1">
      <alignment horizontal="center" vertical="center" wrapText="1"/>
    </xf>
    <xf numFmtId="0" fontId="22" fillId="11" borderId="7" xfId="0" applyFont="1" applyFill="1" applyBorder="1" applyAlignment="1">
      <alignment vertical="center"/>
    </xf>
    <xf numFmtId="0" fontId="22" fillId="11" borderId="8" xfId="0" applyFont="1" applyFill="1" applyBorder="1" applyAlignment="1">
      <alignment vertical="center"/>
    </xf>
    <xf numFmtId="0" fontId="25" fillId="11" borderId="8" xfId="0" applyFont="1" applyFill="1" applyBorder="1" applyAlignment="1">
      <alignment vertical="center"/>
    </xf>
    <xf numFmtId="0" fontId="25" fillId="11" borderId="9" xfId="0" applyFont="1" applyFill="1" applyBorder="1" applyAlignment="1">
      <alignment vertical="center"/>
    </xf>
    <xf numFmtId="0" fontId="6" fillId="0" borderId="0" xfId="3"/>
    <xf numFmtId="0" fontId="6" fillId="0" borderId="0" xfId="3" applyAlignment="1">
      <alignment horizontal="center"/>
    </xf>
    <xf numFmtId="0" fontId="6" fillId="0" borderId="14" xfId="3" applyBorder="1" applyAlignment="1">
      <alignment horizontal="center"/>
    </xf>
    <xf numFmtId="0" fontId="6" fillId="0" borderId="18" xfId="3" applyBorder="1" applyAlignment="1">
      <alignment horizontal="center"/>
    </xf>
    <xf numFmtId="0" fontId="0" fillId="0" borderId="16" xfId="0" applyBorder="1"/>
    <xf numFmtId="0" fontId="0" fillId="0" borderId="6" xfId="0" applyBorder="1"/>
    <xf numFmtId="0" fontId="29"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23" xfId="0" applyBorder="1"/>
    <xf numFmtId="0" fontId="0" fillId="0" borderId="24" xfId="0" applyBorder="1"/>
    <xf numFmtId="0" fontId="0" fillId="0" borderId="2" xfId="0" applyBorder="1" applyAlignment="1">
      <alignment horizontal="center"/>
    </xf>
    <xf numFmtId="0" fontId="11" fillId="4" borderId="20" xfId="0" applyFont="1" applyFill="1" applyBorder="1"/>
    <xf numFmtId="0" fontId="11"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1" fillId="5" borderId="20" xfId="0" applyFont="1" applyFill="1" applyBorder="1"/>
    <xf numFmtId="0" fontId="11"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1" fillId="6" borderId="20" xfId="0" applyFont="1" applyFill="1" applyBorder="1"/>
    <xf numFmtId="0" fontId="0" fillId="6" borderId="1" xfId="0" applyFill="1" applyBorder="1"/>
    <xf numFmtId="0" fontId="11"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1" fillId="7" borderId="20" xfId="0" applyFont="1" applyFill="1" applyBorder="1"/>
    <xf numFmtId="0" fontId="0" fillId="7" borderId="1" xfId="0" applyFill="1" applyBorder="1"/>
    <xf numFmtId="0" fontId="11"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3" fillId="6" borderId="1" xfId="0" applyFont="1" applyFill="1" applyBorder="1"/>
    <xf numFmtId="0" fontId="11" fillId="7" borderId="25" xfId="0" applyFont="1" applyFill="1" applyBorder="1"/>
    <xf numFmtId="0" fontId="11" fillId="7" borderId="12" xfId="0" applyFont="1" applyFill="1" applyBorder="1"/>
    <xf numFmtId="0" fontId="0" fillId="7" borderId="12" xfId="0" applyFill="1" applyBorder="1" applyAlignment="1">
      <alignment horizontal="center"/>
    </xf>
    <xf numFmtId="2" fontId="0" fillId="7" borderId="12" xfId="0" applyNumberFormat="1" applyFill="1" applyBorder="1" applyAlignment="1">
      <alignment horizontal="center"/>
    </xf>
    <xf numFmtId="0" fontId="13" fillId="7" borderId="1" xfId="0" applyFont="1" applyFill="1" applyBorder="1"/>
    <xf numFmtId="2" fontId="0" fillId="6" borderId="2" xfId="0" applyNumberFormat="1" applyFill="1" applyBorder="1" applyAlignment="1">
      <alignment horizontal="center"/>
    </xf>
    <xf numFmtId="0" fontId="11" fillId="2" borderId="20" xfId="0" applyFont="1" applyFill="1" applyBorder="1"/>
    <xf numFmtId="0" fontId="11" fillId="2" borderId="1" xfId="0" applyFont="1" applyFill="1" applyBorder="1"/>
    <xf numFmtId="0" fontId="0" fillId="2" borderId="1" xfId="0" applyFill="1" applyBorder="1" applyAlignment="1">
      <alignment horizontal="center"/>
    </xf>
    <xf numFmtId="2" fontId="0" fillId="2" borderId="1" xfId="0" applyNumberFormat="1" applyFill="1" applyBorder="1" applyAlignment="1">
      <alignment horizontal="center"/>
    </xf>
    <xf numFmtId="0" fontId="11" fillId="3" borderId="22" xfId="0" applyFont="1" applyFill="1" applyBorder="1"/>
    <xf numFmtId="0" fontId="11"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1" fillId="3" borderId="20" xfId="0" applyFont="1" applyFill="1" applyBorder="1"/>
    <xf numFmtId="0" fontId="11"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1" fillId="3" borderId="25" xfId="0" applyFont="1" applyFill="1" applyBorder="1"/>
    <xf numFmtId="0" fontId="11" fillId="3" borderId="12" xfId="0" applyFont="1" applyFill="1" applyBorder="1"/>
    <xf numFmtId="0" fontId="0" fillId="3" borderId="12" xfId="0" applyFill="1" applyBorder="1" applyAlignment="1">
      <alignment horizontal="center"/>
    </xf>
    <xf numFmtId="2" fontId="0" fillId="3" borderId="12" xfId="0" applyNumberFormat="1" applyFill="1" applyBorder="1" applyAlignment="1">
      <alignment horizontal="center"/>
    </xf>
    <xf numFmtId="0" fontId="32" fillId="0" borderId="0" xfId="0" applyFont="1" applyAlignment="1">
      <alignment horizontal="centerContinuous"/>
    </xf>
    <xf numFmtId="0" fontId="24" fillId="0" borderId="2" xfId="0" applyFont="1" applyBorder="1" applyAlignment="1">
      <alignment horizontal="center"/>
    </xf>
    <xf numFmtId="0" fontId="22" fillId="0" borderId="3" xfId="0" applyFont="1" applyBorder="1"/>
    <xf numFmtId="0" fontId="30"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15" fillId="0" borderId="0" xfId="3" applyFont="1" applyAlignment="1">
      <alignment horizontal="right" vertical="center"/>
    </xf>
    <xf numFmtId="0" fontId="15" fillId="0" borderId="0" xfId="3" applyFont="1" applyAlignment="1">
      <alignment vertical="center"/>
    </xf>
    <xf numFmtId="0" fontId="15" fillId="0" borderId="0" xfId="3" applyFont="1" applyAlignment="1">
      <alignment horizontal="left" vertical="center"/>
    </xf>
    <xf numFmtId="0" fontId="12" fillId="0" borderId="1" xfId="3" applyFont="1" applyBorder="1" applyAlignment="1">
      <alignment horizontal="center"/>
    </xf>
    <xf numFmtId="0" fontId="15" fillId="0" borderId="0" xfId="3" applyFont="1" applyAlignment="1">
      <alignment horizontal="center" vertical="center"/>
    </xf>
    <xf numFmtId="1" fontId="15" fillId="0" borderId="0" xfId="3" applyNumberFormat="1" applyFont="1" applyAlignment="1">
      <alignment vertical="center"/>
    </xf>
    <xf numFmtId="0" fontId="6" fillId="0" borderId="0" xfId="3" applyAlignment="1">
      <alignment horizontal="left"/>
    </xf>
    <xf numFmtId="0" fontId="15" fillId="0" borderId="0" xfId="3" applyFont="1" applyAlignment="1">
      <alignment horizontal="left"/>
    </xf>
    <xf numFmtId="0" fontId="6" fillId="0" borderId="11" xfId="3" applyBorder="1" applyAlignment="1">
      <alignment vertical="center"/>
    </xf>
    <xf numFmtId="0" fontId="12" fillId="0" borderId="0" xfId="3" applyFont="1" applyAlignment="1">
      <alignment horizontal="center" vertical="center"/>
    </xf>
    <xf numFmtId="0" fontId="12" fillId="0" borderId="0" xfId="3" applyFont="1" applyAlignment="1">
      <alignment horizontal="left" vertical="top"/>
    </xf>
    <xf numFmtId="0" fontId="12"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17" fillId="0" borderId="0" xfId="3" applyFont="1" applyAlignment="1">
      <alignment vertical="center"/>
    </xf>
    <xf numFmtId="167" fontId="17" fillId="0" borderId="0" xfId="3" applyNumberFormat="1" applyFont="1" applyAlignment="1">
      <alignment vertical="center"/>
    </xf>
    <xf numFmtId="0" fontId="6" fillId="0" borderId="5" xfId="3" applyBorder="1" applyAlignment="1">
      <alignment vertical="center"/>
    </xf>
    <xf numFmtId="0" fontId="12" fillId="0" borderId="5" xfId="3" applyFont="1" applyBorder="1" applyAlignment="1">
      <alignment vertical="top"/>
    </xf>
    <xf numFmtId="0" fontId="12" fillId="0" borderId="0" xfId="3" applyFont="1" applyAlignment="1">
      <alignment vertical="top"/>
    </xf>
    <xf numFmtId="0" fontId="12" fillId="0" borderId="5" xfId="3" applyFont="1" applyBorder="1" applyAlignment="1">
      <alignment vertical="center" wrapText="1"/>
    </xf>
    <xf numFmtId="0" fontId="12" fillId="0" borderId="0" xfId="3" applyFont="1" applyAlignment="1">
      <alignment vertical="center" wrapText="1"/>
    </xf>
    <xf numFmtId="9" fontId="0" fillId="0" borderId="0" xfId="0" applyNumberFormat="1"/>
    <xf numFmtId="0" fontId="22" fillId="0" borderId="6" xfId="0" applyFont="1" applyBorder="1"/>
    <xf numFmtId="0" fontId="22" fillId="0" borderId="30" xfId="0" applyFont="1" applyBorder="1"/>
    <xf numFmtId="0" fontId="22" fillId="0" borderId="31" xfId="0" applyFont="1" applyBorder="1"/>
    <xf numFmtId="0" fontId="30" fillId="0" borderId="1" xfId="0" applyFont="1" applyBorder="1" applyAlignment="1">
      <alignment horizontal="centerContinuous"/>
    </xf>
    <xf numFmtId="0" fontId="22" fillId="0" borderId="0" xfId="0" applyFont="1" applyAlignment="1">
      <alignment horizontal="centerContinuous"/>
    </xf>
    <xf numFmtId="0" fontId="22" fillId="0" borderId="3" xfId="0" applyFont="1" applyBorder="1" applyAlignment="1">
      <alignment horizontal="centerContinuous"/>
    </xf>
    <xf numFmtId="0" fontId="24" fillId="12" borderId="1" xfId="0" applyFont="1" applyFill="1" applyBorder="1"/>
    <xf numFmtId="0" fontId="24" fillId="12" borderId="1" xfId="0" applyFont="1" applyFill="1" applyBorder="1" applyAlignment="1">
      <alignment horizontal="left" vertical="center" wrapText="1"/>
    </xf>
    <xf numFmtId="0" fontId="24" fillId="12" borderId="1" xfId="0" applyFont="1" applyFill="1" applyBorder="1" applyAlignment="1">
      <alignment horizontal="center"/>
    </xf>
    <xf numFmtId="0" fontId="34" fillId="0" borderId="0" xfId="0" applyFont="1" applyAlignment="1">
      <alignment horizontal="centerContinuous" vertical="center"/>
    </xf>
    <xf numFmtId="0" fontId="6" fillId="0" borderId="0" xfId="3" applyAlignment="1">
      <alignment horizontal="centerContinuous" vertical="center"/>
    </xf>
    <xf numFmtId="0" fontId="18"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7" fillId="0" borderId="0" xfId="3" applyFont="1"/>
    <xf numFmtId="0" fontId="12" fillId="0" borderId="32" xfId="3" applyFont="1" applyBorder="1" applyAlignment="1">
      <alignment horizontal="center"/>
    </xf>
    <xf numFmtId="0" fontId="12" fillId="0" borderId="32" xfId="3" applyFont="1" applyBorder="1" applyAlignment="1">
      <alignment horizontal="center" vertical="center"/>
    </xf>
    <xf numFmtId="0" fontId="8" fillId="0" borderId="10" xfId="3" applyFont="1" applyBorder="1" applyAlignment="1">
      <alignment vertical="center"/>
    </xf>
    <xf numFmtId="0" fontId="6" fillId="0" borderId="4" xfId="3" applyBorder="1" applyAlignment="1">
      <alignment vertical="center"/>
    </xf>
    <xf numFmtId="0" fontId="6" fillId="0" borderId="33" xfId="3" applyBorder="1" applyAlignment="1">
      <alignment horizontal="center" vertical="center"/>
    </xf>
    <xf numFmtId="0" fontId="12" fillId="0" borderId="35" xfId="3" applyFont="1" applyBorder="1" applyAlignment="1">
      <alignment horizontal="center"/>
    </xf>
    <xf numFmtId="0" fontId="17" fillId="0" borderId="32" xfId="3" applyFont="1" applyBorder="1" applyAlignment="1">
      <alignment horizontal="center" vertical="center"/>
    </xf>
    <xf numFmtId="0" fontId="17" fillId="0" borderId="35"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36" xfId="3" applyBorder="1" applyAlignment="1">
      <alignment horizontal="center" vertical="center"/>
    </xf>
    <xf numFmtId="0" fontId="6" fillId="0" borderId="36" xfId="3" applyBorder="1" applyAlignment="1">
      <alignment horizontal="left" vertical="center"/>
    </xf>
    <xf numFmtId="0" fontId="6" fillId="0" borderId="37" xfId="3" applyBorder="1" applyAlignment="1">
      <alignment horizontal="center" vertical="center"/>
    </xf>
    <xf numFmtId="0" fontId="25" fillId="0" borderId="0" xfId="0" applyFont="1" applyAlignment="1">
      <alignment horizontal="left" indent="1"/>
    </xf>
    <xf numFmtId="0" fontId="25" fillId="0" borderId="0" xfId="0" applyFont="1" applyAlignment="1">
      <alignment horizontal="left" vertical="center" wrapText="1" indent="1"/>
    </xf>
    <xf numFmtId="0" fontId="24" fillId="13" borderId="1" xfId="0" applyFont="1" applyFill="1" applyBorder="1"/>
    <xf numFmtId="0" fontId="0" fillId="0" borderId="0" xfId="0" applyAlignment="1">
      <alignment horizontal="center" vertical="distributed" wrapText="1"/>
    </xf>
    <xf numFmtId="0" fontId="21" fillId="0" borderId="0" xfId="0" applyFont="1" applyAlignment="1">
      <alignment horizontal="left" vertical="center"/>
    </xf>
    <xf numFmtId="0" fontId="0" fillId="0" borderId="0" xfId="0" applyAlignment="1">
      <alignment horizontal="left" vertical="center"/>
    </xf>
    <xf numFmtId="0" fontId="36" fillId="0" borderId="0" xfId="0" applyFont="1" applyAlignment="1">
      <alignment horizontal="centerContinuous"/>
    </xf>
    <xf numFmtId="0" fontId="15" fillId="12" borderId="2" xfId="3" applyFont="1" applyFill="1" applyBorder="1" applyAlignment="1">
      <alignment vertical="center"/>
    </xf>
    <xf numFmtId="0" fontId="15" fillId="12" borderId="3" xfId="3" applyFont="1" applyFill="1" applyBorder="1" applyAlignment="1">
      <alignment vertical="center"/>
    </xf>
    <xf numFmtId="0" fontId="6" fillId="12" borderId="6" xfId="3" applyFill="1" applyBorder="1" applyAlignment="1">
      <alignment vertical="center"/>
    </xf>
    <xf numFmtId="0" fontId="15" fillId="12" borderId="1" xfId="3" applyFont="1" applyFill="1" applyBorder="1" applyAlignment="1">
      <alignment vertical="center" wrapText="1"/>
    </xf>
    <xf numFmtId="0" fontId="8" fillId="12" borderId="2" xfId="3" applyFont="1" applyFill="1" applyBorder="1" applyAlignment="1">
      <alignment vertical="center"/>
    </xf>
    <xf numFmtId="167" fontId="8" fillId="12" borderId="3" xfId="3" applyNumberFormat="1" applyFont="1" applyFill="1" applyBorder="1" applyAlignment="1">
      <alignment vertical="center"/>
    </xf>
    <xf numFmtId="0" fontId="21" fillId="0" borderId="5" xfId="0" applyFont="1" applyBorder="1"/>
    <xf numFmtId="0" fontId="0" fillId="0" borderId="0" xfId="0" applyAlignment="1">
      <alignment horizontal="right" vertical="center"/>
    </xf>
    <xf numFmtId="168" fontId="17" fillId="0" borderId="0" xfId="3" applyNumberFormat="1" applyFont="1" applyAlignment="1">
      <alignment horizontal="left" vertical="center"/>
    </xf>
    <xf numFmtId="0" fontId="37" fillId="0" borderId="38" xfId="0" applyFont="1" applyBorder="1" applyAlignment="1">
      <alignment horizontal="center" vertical="center"/>
    </xf>
    <xf numFmtId="0" fontId="37" fillId="0" borderId="39" xfId="0" applyFont="1" applyBorder="1" applyAlignment="1">
      <alignment horizontal="center" vertical="center"/>
    </xf>
    <xf numFmtId="0" fontId="17" fillId="0" borderId="40" xfId="3" applyFont="1" applyBorder="1" applyAlignment="1">
      <alignment horizontal="center" vertical="center"/>
    </xf>
    <xf numFmtId="0" fontId="17" fillId="0" borderId="41" xfId="3" applyFont="1" applyBorder="1" applyAlignment="1">
      <alignment horizontal="center"/>
    </xf>
    <xf numFmtId="1" fontId="6" fillId="0" borderId="42" xfId="3" applyNumberFormat="1" applyBorder="1" applyAlignment="1">
      <alignment horizontal="center"/>
    </xf>
    <xf numFmtId="1" fontId="6" fillId="0" borderId="36" xfId="3" applyNumberFormat="1" applyBorder="1" applyAlignment="1">
      <alignment horizontal="center"/>
    </xf>
    <xf numFmtId="1" fontId="6" fillId="0" borderId="43" xfId="5" applyNumberFormat="1" applyFont="1" applyBorder="1" applyAlignment="1">
      <alignment horizontal="center"/>
    </xf>
    <xf numFmtId="1" fontId="6" fillId="0" borderId="32" xfId="2" applyNumberFormat="1" applyFont="1" applyBorder="1" applyAlignment="1">
      <alignment horizontal="center"/>
    </xf>
    <xf numFmtId="1" fontId="6" fillId="0" borderId="43" xfId="5" applyNumberFormat="1" applyFont="1" applyBorder="1" applyAlignment="1">
      <alignment horizontal="center" vertical="center"/>
    </xf>
    <xf numFmtId="1" fontId="6" fillId="0" borderId="32" xfId="2" applyNumberFormat="1" applyFont="1" applyBorder="1" applyAlignment="1">
      <alignment horizontal="center" vertical="center"/>
    </xf>
    <xf numFmtId="1" fontId="6" fillId="0" borderId="44" xfId="5" applyNumberFormat="1" applyFont="1" applyBorder="1" applyAlignment="1">
      <alignment horizontal="center"/>
    </xf>
    <xf numFmtId="1" fontId="6" fillId="0" borderId="35" xfId="5" applyNumberFormat="1" applyFont="1" applyBorder="1" applyAlignment="1">
      <alignment horizontal="center"/>
    </xf>
    <xf numFmtId="0" fontId="15" fillId="0" borderId="0" xfId="3" applyFont="1" applyAlignment="1">
      <alignment horizontal="left" vertical="top"/>
    </xf>
    <xf numFmtId="2" fontId="12" fillId="0" borderId="0" xfId="3" applyNumberFormat="1" applyFont="1" applyAlignment="1">
      <alignment horizontal="center" vertical="top"/>
    </xf>
    <xf numFmtId="167" fontId="16" fillId="0" borderId="0" xfId="3" applyNumberFormat="1" applyFont="1" applyAlignment="1">
      <alignment horizontal="left" vertical="top"/>
    </xf>
    <xf numFmtId="167" fontId="12" fillId="0" borderId="0" xfId="3" applyNumberFormat="1" applyFont="1" applyAlignment="1">
      <alignment horizontal="left" vertical="top"/>
    </xf>
    <xf numFmtId="0" fontId="38" fillId="10" borderId="30" xfId="3" applyFont="1" applyFill="1" applyBorder="1" applyAlignment="1">
      <alignment horizontal="center" vertical="center"/>
    </xf>
    <xf numFmtId="0" fontId="38" fillId="10" borderId="1" xfId="3" applyFont="1" applyFill="1" applyBorder="1" applyAlignment="1">
      <alignment horizontal="center" vertical="center"/>
    </xf>
    <xf numFmtId="0" fontId="17" fillId="0" borderId="2" xfId="3" applyFont="1" applyBorder="1" applyAlignment="1">
      <alignment horizontal="center" vertical="center"/>
    </xf>
    <xf numFmtId="0" fontId="17" fillId="0" borderId="2" xfId="3" applyFont="1" applyBorder="1" applyAlignment="1">
      <alignment vertical="center"/>
    </xf>
    <xf numFmtId="0" fontId="17" fillId="0" borderId="3" xfId="3" applyFont="1" applyBorder="1" applyAlignment="1">
      <alignment vertical="center"/>
    </xf>
    <xf numFmtId="0" fontId="17" fillId="0" borderId="1" xfId="3" applyFont="1" applyBorder="1" applyAlignment="1">
      <alignment vertical="center"/>
    </xf>
    <xf numFmtId="0" fontId="39" fillId="10" borderId="47" xfId="3" applyFont="1" applyFill="1" applyBorder="1" applyAlignment="1">
      <alignment horizontal="center" vertical="center"/>
    </xf>
    <xf numFmtId="0" fontId="39" fillId="10" borderId="48" xfId="3" applyFont="1" applyFill="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12" fillId="0" borderId="49" xfId="3" applyFont="1" applyBorder="1" applyAlignment="1">
      <alignment horizontal="center"/>
    </xf>
    <xf numFmtId="0" fontId="15" fillId="0" borderId="49" xfId="3" applyFont="1" applyBorder="1" applyAlignment="1">
      <alignment horizontal="left"/>
    </xf>
    <xf numFmtId="0" fontId="15" fillId="0" borderId="32" xfId="3" applyFont="1" applyBorder="1" applyAlignment="1">
      <alignment horizontal="left"/>
    </xf>
    <xf numFmtId="0" fontId="12" fillId="0" borderId="50" xfId="3" applyFont="1" applyBorder="1" applyAlignment="1">
      <alignment horizontal="center" vertical="center"/>
    </xf>
    <xf numFmtId="0" fontId="15" fillId="0" borderId="50" xfId="3" applyFont="1" applyBorder="1" applyAlignment="1">
      <alignment horizontal="left" vertical="top"/>
    </xf>
    <xf numFmtId="0" fontId="12" fillId="0" borderId="50" xfId="3" applyFont="1" applyBorder="1" applyAlignment="1">
      <alignment horizontal="center"/>
    </xf>
    <xf numFmtId="0" fontId="15" fillId="0" borderId="49" xfId="3" applyFont="1" applyBorder="1" applyAlignment="1">
      <alignment horizontal="left" vertical="top"/>
    </xf>
    <xf numFmtId="0" fontId="15" fillId="0" borderId="32" xfId="3" applyFont="1" applyBorder="1" applyAlignment="1">
      <alignment horizontal="left" vertical="top"/>
    </xf>
    <xf numFmtId="0" fontId="12" fillId="0" borderId="50" xfId="3" applyFont="1" applyBorder="1" applyAlignment="1">
      <alignment horizontal="left" vertical="top"/>
    </xf>
    <xf numFmtId="2" fontId="12" fillId="0" borderId="49" xfId="3" applyNumberFormat="1" applyFont="1" applyBorder="1" applyAlignment="1">
      <alignment horizontal="center" vertical="top"/>
    </xf>
    <xf numFmtId="167" fontId="16" fillId="0" borderId="49" xfId="3" applyNumberFormat="1" applyFont="1" applyBorder="1" applyAlignment="1">
      <alignment horizontal="left" vertical="top"/>
    </xf>
    <xf numFmtId="167" fontId="12" fillId="0" borderId="49" xfId="3" applyNumberFormat="1" applyFont="1" applyBorder="1" applyAlignment="1">
      <alignment horizontal="left" vertical="top"/>
    </xf>
    <xf numFmtId="2" fontId="12" fillId="0" borderId="32" xfId="3" applyNumberFormat="1" applyFont="1" applyBorder="1" applyAlignment="1">
      <alignment horizontal="center" vertical="top"/>
    </xf>
    <xf numFmtId="167" fontId="16" fillId="0" borderId="32" xfId="3" applyNumberFormat="1" applyFont="1" applyBorder="1" applyAlignment="1">
      <alignment horizontal="left" vertical="top"/>
    </xf>
    <xf numFmtId="167" fontId="12" fillId="0" borderId="32" xfId="3" applyNumberFormat="1" applyFont="1" applyBorder="1" applyAlignment="1">
      <alignment horizontal="left" vertical="top"/>
    </xf>
    <xf numFmtId="2" fontId="12" fillId="0" borderId="50" xfId="3" applyNumberFormat="1" applyFont="1" applyBorder="1" applyAlignment="1">
      <alignment horizontal="center" vertical="top"/>
    </xf>
    <xf numFmtId="167" fontId="16" fillId="0" borderId="50" xfId="3" applyNumberFormat="1" applyFont="1" applyBorder="1" applyAlignment="1">
      <alignment horizontal="left" vertical="top"/>
    </xf>
    <xf numFmtId="167" fontId="12" fillId="0" borderId="50" xfId="3" applyNumberFormat="1" applyFont="1" applyBorder="1" applyAlignment="1">
      <alignment horizontal="left" vertical="top"/>
    </xf>
    <xf numFmtId="0" fontId="15" fillId="0" borderId="10" xfId="3" applyFont="1" applyBorder="1" applyAlignment="1">
      <alignment vertical="center"/>
    </xf>
    <xf numFmtId="0" fontId="15" fillId="0" borderId="1" xfId="3" applyFont="1" applyBorder="1" applyAlignment="1">
      <alignment vertical="center"/>
    </xf>
    <xf numFmtId="0" fontId="6" fillId="0" borderId="51" xfId="3" applyBorder="1" applyAlignment="1">
      <alignment horizontal="center" vertical="center"/>
    </xf>
    <xf numFmtId="0" fontId="6" fillId="0" borderId="44" xfId="3" applyBorder="1" applyAlignment="1">
      <alignment horizontal="center" vertical="center"/>
    </xf>
    <xf numFmtId="167" fontId="12" fillId="0" borderId="49" xfId="3" applyNumberFormat="1" applyFont="1" applyBorder="1" applyAlignment="1">
      <alignment horizontal="center" vertical="top"/>
    </xf>
    <xf numFmtId="167" fontId="12" fillId="0" borderId="32" xfId="3" applyNumberFormat="1" applyFont="1" applyBorder="1" applyAlignment="1">
      <alignment horizontal="center" vertical="top"/>
    </xf>
    <xf numFmtId="167" fontId="12" fillId="0" borderId="50" xfId="3" applyNumberFormat="1" applyFont="1" applyBorder="1" applyAlignment="1">
      <alignment horizontal="center" vertical="top"/>
    </xf>
    <xf numFmtId="0" fontId="17" fillId="0" borderId="1" xfId="3" applyFont="1" applyBorder="1" applyAlignment="1">
      <alignment horizontal="center" vertical="center"/>
    </xf>
    <xf numFmtId="0" fontId="22" fillId="0" borderId="0" xfId="0" applyFont="1" applyAlignment="1">
      <alignment vertical="center" wrapText="1"/>
    </xf>
    <xf numFmtId="0" fontId="22" fillId="0" borderId="0" xfId="0" applyFont="1" applyAlignment="1">
      <alignment horizontal="left" vertical="center"/>
    </xf>
    <xf numFmtId="0" fontId="24" fillId="0" borderId="0" xfId="0" applyFont="1" applyAlignment="1">
      <alignment vertical="center" wrapText="1"/>
    </xf>
    <xf numFmtId="0" fontId="22" fillId="0" borderId="0" xfId="0" applyFont="1" applyAlignment="1">
      <alignment horizontal="center" vertical="center" wrapText="1"/>
    </xf>
    <xf numFmtId="0" fontId="42" fillId="0" borderId="0" xfId="0" applyFont="1"/>
    <xf numFmtId="0" fontId="31" fillId="0" borderId="0" xfId="0" applyFont="1" applyAlignment="1">
      <alignment horizontal="center"/>
    </xf>
    <xf numFmtId="0" fontId="24" fillId="0" borderId="6" xfId="0" applyFont="1" applyBorder="1" applyAlignment="1">
      <alignment horizontal="center"/>
    </xf>
    <xf numFmtId="0" fontId="30" fillId="0" borderId="3" xfId="0" applyFont="1" applyBorder="1" applyAlignment="1">
      <alignment horizontal="centerContinuous"/>
    </xf>
    <xf numFmtId="0" fontId="40" fillId="14" borderId="0" xfId="0" applyFont="1" applyFill="1" applyAlignment="1">
      <alignment horizontal="center" vertical="center" wrapText="1"/>
    </xf>
    <xf numFmtId="171" fontId="3" fillId="0" borderId="0" xfId="0" applyNumberFormat="1" applyFont="1" applyAlignment="1" applyProtection="1">
      <alignment horizontal="left" vertical="center"/>
      <protection locked="0"/>
    </xf>
    <xf numFmtId="171" fontId="22" fillId="0" borderId="77" xfId="0" applyNumberFormat="1" applyFont="1" applyBorder="1" applyAlignment="1">
      <alignment horizontal="left"/>
    </xf>
    <xf numFmtId="0" fontId="22" fillId="0" borderId="1" xfId="0" applyFont="1" applyBorder="1" applyAlignment="1">
      <alignment horizontal="left"/>
    </xf>
    <xf numFmtId="169" fontId="22" fillId="0" borderId="0" xfId="0" applyNumberFormat="1" applyFont="1"/>
    <xf numFmtId="169" fontId="33" fillId="0" borderId="0" xfId="0" applyNumberFormat="1" applyFont="1"/>
    <xf numFmtId="171" fontId="22" fillId="0" borderId="0" xfId="0" applyNumberFormat="1" applyFont="1" applyAlignment="1">
      <alignment horizontal="left"/>
    </xf>
    <xf numFmtId="0" fontId="22" fillId="0" borderId="0" xfId="0" applyFont="1" applyAlignment="1">
      <alignment vertical="distributed"/>
    </xf>
    <xf numFmtId="0" fontId="0" fillId="0" borderId="0" xfId="0" applyAlignment="1">
      <alignment vertical="distributed"/>
    </xf>
    <xf numFmtId="0" fontId="40" fillId="0" borderId="0" xfId="0" applyFont="1" applyAlignment="1">
      <alignment horizontal="center" vertical="center" wrapText="1"/>
    </xf>
    <xf numFmtId="0" fontId="43" fillId="0" borderId="0" xfId="0" applyFont="1" applyAlignment="1">
      <alignment horizontal="left"/>
    </xf>
    <xf numFmtId="0" fontId="22" fillId="0" borderId="5" xfId="0" applyFont="1" applyBorder="1" applyAlignment="1">
      <alignment horizontal="center" vertical="center" wrapText="1"/>
    </xf>
    <xf numFmtId="0" fontId="44" fillId="0" borderId="0" xfId="0" applyFont="1"/>
    <xf numFmtId="0" fontId="44" fillId="0" borderId="0" xfId="0" applyFont="1" applyAlignment="1">
      <alignment horizontal="left"/>
    </xf>
    <xf numFmtId="0" fontId="43" fillId="0" borderId="0" xfId="0" applyFont="1"/>
    <xf numFmtId="0" fontId="22" fillId="0" borderId="0" xfId="0" applyFont="1" applyAlignment="1">
      <alignment vertical="center"/>
    </xf>
    <xf numFmtId="0" fontId="22" fillId="12" borderId="1" xfId="0" applyFont="1" applyFill="1" applyBorder="1"/>
    <xf numFmtId="171" fontId="3" fillId="0" borderId="0" xfId="0" applyNumberFormat="1" applyFont="1" applyAlignment="1" applyProtection="1">
      <alignment horizontal="center" vertical="center"/>
      <protection locked="0"/>
    </xf>
    <xf numFmtId="169" fontId="22" fillId="0" borderId="1" xfId="0" applyNumberFormat="1" applyFont="1" applyBorder="1"/>
    <xf numFmtId="0" fontId="43" fillId="0" borderId="1" xfId="0" applyFont="1" applyBorder="1" applyAlignment="1">
      <alignment horizontal="left"/>
    </xf>
    <xf numFmtId="173" fontId="22" fillId="0" borderId="1" xfId="0" applyNumberFormat="1" applyFont="1" applyBorder="1"/>
    <xf numFmtId="174" fontId="22" fillId="0" borderId="1" xfId="0" applyNumberFormat="1" applyFont="1" applyBorder="1"/>
    <xf numFmtId="0" fontId="22" fillId="0" borderId="2" xfId="0" applyFont="1" applyBorder="1" applyAlignment="1">
      <alignment horizontal="left"/>
    </xf>
    <xf numFmtId="170" fontId="3" fillId="0" borderId="1" xfId="0" applyNumberFormat="1" applyFont="1" applyBorder="1" applyAlignment="1" applyProtection="1">
      <alignment horizontal="left" vertical="center"/>
      <protection locked="0"/>
    </xf>
    <xf numFmtId="0" fontId="22" fillId="13" borderId="1" xfId="0" applyFont="1" applyFill="1" applyBorder="1" applyAlignment="1">
      <alignment horizontal="left"/>
    </xf>
    <xf numFmtId="0" fontId="22" fillId="0" borderId="73" xfId="0" applyFont="1" applyBorder="1" applyAlignment="1">
      <alignment horizontal="left"/>
    </xf>
    <xf numFmtId="14" fontId="22" fillId="13" borderId="1" xfId="0" applyNumberFormat="1" applyFont="1" applyFill="1" applyBorder="1" applyAlignment="1">
      <alignment horizontal="left"/>
    </xf>
    <xf numFmtId="169" fontId="22" fillId="0" borderId="1" xfId="0" applyNumberFormat="1" applyFont="1" applyBorder="1" applyAlignment="1">
      <alignment horizontal="left"/>
    </xf>
    <xf numFmtId="4" fontId="22" fillId="0" borderId="0" xfId="0" applyNumberFormat="1" applyFont="1" applyAlignment="1">
      <alignment horizontal="left"/>
    </xf>
    <xf numFmtId="0" fontId="33" fillId="0" borderId="1" xfId="0" applyFont="1" applyBorder="1" applyAlignment="1">
      <alignment horizontal="left"/>
    </xf>
    <xf numFmtId="0" fontId="22"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28" fillId="0" borderId="73" xfId="0" applyFont="1" applyBorder="1" applyAlignment="1">
      <alignment horizontal="left"/>
    </xf>
    <xf numFmtId="0" fontId="28" fillId="0" borderId="5" xfId="0" applyFont="1" applyBorder="1" applyAlignment="1">
      <alignment horizontal="left"/>
    </xf>
    <xf numFmtId="0" fontId="22" fillId="8" borderId="1" xfId="0" applyFont="1" applyFill="1" applyBorder="1" applyAlignment="1">
      <alignment horizontal="left" vertical="center" wrapText="1"/>
    </xf>
    <xf numFmtId="0" fontId="24" fillId="12" borderId="1" xfId="0" applyFont="1" applyFill="1" applyBorder="1" applyAlignment="1">
      <alignment horizontal="left"/>
    </xf>
    <xf numFmtId="175" fontId="22" fillId="0" borderId="1" xfId="0" applyNumberFormat="1" applyFont="1" applyBorder="1" applyAlignment="1">
      <alignment horizontal="left"/>
    </xf>
    <xf numFmtId="165" fontId="22" fillId="0" borderId="1" xfId="0" applyNumberFormat="1" applyFont="1" applyBorder="1" applyAlignment="1">
      <alignment horizontal="left"/>
    </xf>
    <xf numFmtId="0" fontId="41" fillId="0" borderId="53" xfId="0" applyFont="1" applyBorder="1" applyAlignment="1">
      <alignment horizontal="left" vertical="top"/>
    </xf>
    <xf numFmtId="0" fontId="41" fillId="0" borderId="85" xfId="0" applyFont="1" applyBorder="1" applyAlignment="1">
      <alignment wrapText="1"/>
    </xf>
    <xf numFmtId="0" fontId="41" fillId="0" borderId="86" xfId="0" applyFont="1" applyBorder="1" applyAlignment="1">
      <alignment wrapText="1"/>
    </xf>
    <xf numFmtId="0" fontId="41" fillId="0" borderId="87" xfId="0" applyFont="1" applyBorder="1" applyAlignment="1">
      <alignment wrapText="1"/>
    </xf>
    <xf numFmtId="0" fontId="0" fillId="11" borderId="12" xfId="0" applyFill="1" applyBorder="1"/>
    <xf numFmtId="0" fontId="0" fillId="11" borderId="14" xfId="0" applyFill="1" applyBorder="1"/>
    <xf numFmtId="0" fontId="0" fillId="11" borderId="18" xfId="0" applyFill="1" applyBorder="1"/>
    <xf numFmtId="0" fontId="0" fillId="18" borderId="14" xfId="0" applyFill="1" applyBorder="1"/>
    <xf numFmtId="0" fontId="37" fillId="16" borderId="12" xfId="0" applyFont="1" applyFill="1" applyBorder="1"/>
    <xf numFmtId="0" fontId="37" fillId="16" borderId="14" xfId="0" applyFont="1" applyFill="1" applyBorder="1"/>
    <xf numFmtId="0" fontId="37" fillId="17" borderId="18" xfId="0" applyFont="1" applyFill="1" applyBorder="1"/>
    <xf numFmtId="0" fontId="37" fillId="17" borderId="12" xfId="0" applyFont="1" applyFill="1" applyBorder="1"/>
    <xf numFmtId="0" fontId="37" fillId="17" borderId="14" xfId="0" applyFont="1" applyFill="1" applyBorder="1"/>
    <xf numFmtId="0" fontId="0" fillId="19" borderId="12" xfId="0" applyFill="1" applyBorder="1"/>
    <xf numFmtId="0" fontId="0" fillId="19" borderId="14" xfId="0" applyFill="1" applyBorder="1"/>
    <xf numFmtId="0" fontId="0" fillId="19" borderId="18" xfId="0" applyFill="1" applyBorder="1"/>
    <xf numFmtId="0" fontId="0" fillId="0" borderId="0" xfId="0" applyAlignment="1">
      <alignment horizontal="left"/>
    </xf>
    <xf numFmtId="0" fontId="10"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21" xfId="0" applyFont="1" applyBorder="1" applyAlignment="1">
      <alignment horizontal="center" wrapText="1"/>
    </xf>
    <xf numFmtId="0" fontId="0" fillId="0" borderId="3" xfId="0" applyBorder="1" applyAlignment="1">
      <alignment horizontal="center"/>
    </xf>
    <xf numFmtId="0" fontId="37" fillId="16" borderId="18" xfId="0" applyFont="1" applyFill="1" applyBorder="1"/>
    <xf numFmtId="0" fontId="0" fillId="18" borderId="12" xfId="0" applyFill="1" applyBorder="1"/>
    <xf numFmtId="0" fontId="0" fillId="18" borderId="18" xfId="0" applyFill="1" applyBorder="1"/>
    <xf numFmtId="0" fontId="49" fillId="0" borderId="0" xfId="3" applyFont="1" applyAlignment="1">
      <alignment vertical="center"/>
    </xf>
    <xf numFmtId="0" fontId="50" fillId="0" borderId="0" xfId="0" applyFont="1" applyAlignment="1">
      <alignment horizontal="left"/>
    </xf>
    <xf numFmtId="0" fontId="6" fillId="0" borderId="0" xfId="0" applyFont="1"/>
    <xf numFmtId="0" fontId="51" fillId="0" borderId="0" xfId="0" applyFont="1" applyAlignment="1">
      <alignment horizontal="center"/>
    </xf>
    <xf numFmtId="0" fontId="6" fillId="0" borderId="16" xfId="0" applyFont="1" applyBorder="1"/>
    <xf numFmtId="0" fontId="50" fillId="0" borderId="16" xfId="0" applyFont="1" applyBorder="1"/>
    <xf numFmtId="0" fontId="53" fillId="0" borderId="0" xfId="0" applyFont="1"/>
    <xf numFmtId="0" fontId="53" fillId="0" borderId="0" xfId="0" applyFont="1" applyAlignment="1">
      <alignment horizontal="left"/>
    </xf>
    <xf numFmtId="0" fontId="5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50" fillId="0" borderId="0" xfId="0" applyFont="1"/>
    <xf numFmtId="0" fontId="6" fillId="0" borderId="0" xfId="0" applyFont="1" applyAlignment="1">
      <alignment horizontal="left"/>
    </xf>
    <xf numFmtId="0" fontId="53" fillId="0" borderId="0" xfId="0" applyFont="1" applyAlignment="1">
      <alignment wrapText="1"/>
    </xf>
    <xf numFmtId="0" fontId="5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56" fillId="0" borderId="1" xfId="0" applyFont="1" applyBorder="1" applyAlignment="1">
      <alignment horizontal="center" vertical="center" wrapText="1"/>
    </xf>
    <xf numFmtId="2" fontId="6" fillId="0" borderId="1" xfId="0" applyNumberFormat="1" applyFont="1" applyBorder="1" applyAlignment="1">
      <alignment horizontal="center"/>
    </xf>
    <xf numFmtId="0" fontId="54" fillId="0" borderId="0" xfId="0" applyFont="1"/>
    <xf numFmtId="0" fontId="57" fillId="0" borderId="0" xfId="0" applyFont="1" applyAlignment="1">
      <alignment horizontal="left" wrapText="1"/>
    </xf>
    <xf numFmtId="0" fontId="57" fillId="0" borderId="0" xfId="0" applyFont="1"/>
    <xf numFmtId="0" fontId="57" fillId="0" borderId="0" xfId="0" applyFont="1" applyAlignment="1">
      <alignment horizontal="center"/>
    </xf>
    <xf numFmtId="0" fontId="53" fillId="0" borderId="0" xfId="0" applyFont="1" applyAlignment="1">
      <alignment horizontal="left" wrapText="1"/>
    </xf>
    <xf numFmtId="0" fontId="6" fillId="20" borderId="0" xfId="0" applyFont="1" applyFill="1" applyAlignment="1">
      <alignment horizontal="center"/>
    </xf>
    <xf numFmtId="0" fontId="57" fillId="20" borderId="0" xfId="0" applyFont="1" applyFill="1"/>
    <xf numFmtId="0" fontId="6" fillId="20" borderId="0" xfId="0" applyFont="1" applyFill="1"/>
    <xf numFmtId="0" fontId="0" fillId="0" borderId="88" xfId="0" applyBorder="1" applyAlignment="1">
      <alignment wrapText="1"/>
    </xf>
    <xf numFmtId="0" fontId="0" fillId="0" borderId="86" xfId="0" applyBorder="1" applyAlignment="1">
      <alignment wrapText="1"/>
    </xf>
    <xf numFmtId="0" fontId="0" fillId="0" borderId="87" xfId="0" applyBorder="1" applyAlignment="1">
      <alignment wrapText="1"/>
    </xf>
    <xf numFmtId="0" fontId="6" fillId="0" borderId="0" xfId="3" applyAlignment="1">
      <alignment horizontal="center" vertical="center" wrapText="1"/>
    </xf>
    <xf numFmtId="0" fontId="59" fillId="0" borderId="91" xfId="0" applyFont="1" applyBorder="1" applyAlignment="1">
      <alignment vertical="center"/>
    </xf>
    <xf numFmtId="0" fontId="59" fillId="0" borderId="92" xfId="0" applyFont="1" applyBorder="1" applyAlignment="1">
      <alignment vertical="center"/>
    </xf>
    <xf numFmtId="0" fontId="30" fillId="0" borderId="1" xfId="0" applyFont="1" applyBorder="1" applyAlignment="1">
      <alignment horizontal="left" vertical="center" wrapText="1"/>
    </xf>
    <xf numFmtId="0" fontId="17" fillId="0" borderId="0" xfId="3" applyFont="1" applyAlignment="1">
      <alignment horizontal="left" vertical="top"/>
    </xf>
    <xf numFmtId="14" fontId="6" fillId="13" borderId="1" xfId="3" applyNumberFormat="1" applyFill="1" applyBorder="1" applyAlignment="1">
      <alignment horizontal="center" vertical="center"/>
    </xf>
    <xf numFmtId="176" fontId="6" fillId="13" borderId="1" xfId="3" applyNumberFormat="1" applyFill="1" applyBorder="1" applyAlignment="1">
      <alignment horizontal="center" vertical="center"/>
    </xf>
    <xf numFmtId="0" fontId="22" fillId="0" borderId="0" xfId="0" applyFont="1" applyAlignment="1">
      <alignment horizontal="center" vertical="center"/>
    </xf>
    <xf numFmtId="0" fontId="60" fillId="0" borderId="0" xfId="0" applyFont="1" applyAlignment="1">
      <alignment horizontal="left"/>
    </xf>
    <xf numFmtId="177" fontId="0" fillId="0" borderId="0" xfId="0" applyNumberFormat="1"/>
    <xf numFmtId="177" fontId="6" fillId="0" borderId="0" xfId="3" applyNumberFormat="1"/>
    <xf numFmtId="0" fontId="22" fillId="0" borderId="1" xfId="0" applyFont="1" applyBorder="1" applyAlignment="1">
      <alignment horizontal="left" vertical="center"/>
    </xf>
    <xf numFmtId="178" fontId="22" fillId="0" borderId="1" xfId="0" applyNumberFormat="1" applyFont="1" applyBorder="1" applyAlignment="1">
      <alignment horizontal="left"/>
    </xf>
    <xf numFmtId="0" fontId="33" fillId="0" borderId="1" xfId="0" applyFont="1" applyBorder="1" applyAlignment="1">
      <alignment horizontal="left" vertical="center"/>
    </xf>
    <xf numFmtId="0" fontId="22" fillId="13" borderId="1" xfId="0" applyFont="1" applyFill="1" applyBorder="1" applyAlignment="1">
      <alignment horizontal="left" vertical="center"/>
    </xf>
    <xf numFmtId="0" fontId="22" fillId="0" borderId="1" xfId="0" quotePrefix="1" applyFont="1" applyBorder="1" applyAlignment="1">
      <alignment horizontal="left" vertical="center"/>
    </xf>
    <xf numFmtId="0" fontId="59" fillId="0" borderId="92" xfId="0" applyFont="1" applyBorder="1" applyAlignment="1">
      <alignment horizontal="left" vertical="center"/>
    </xf>
    <xf numFmtId="177" fontId="59" fillId="0" borderId="92" xfId="0" applyNumberFormat="1" applyFont="1" applyBorder="1" applyAlignment="1">
      <alignment horizontal="left" vertical="center"/>
    </xf>
    <xf numFmtId="0" fontId="59" fillId="0" borderId="92" xfId="0" applyFont="1" applyBorder="1" applyAlignment="1">
      <alignment horizontal="left"/>
    </xf>
    <xf numFmtId="178" fontId="59" fillId="0" borderId="92" xfId="0" applyNumberFormat="1" applyFont="1" applyBorder="1" applyAlignment="1">
      <alignment horizontal="left"/>
    </xf>
    <xf numFmtId="177" fontId="17" fillId="0" borderId="0" xfId="3" applyNumberFormat="1" applyFont="1" applyAlignment="1">
      <alignment horizontal="left" vertical="top"/>
    </xf>
    <xf numFmtId="172" fontId="22" fillId="0" borderId="1" xfId="0" applyNumberFormat="1" applyFont="1" applyBorder="1" applyAlignment="1">
      <alignment horizontal="left"/>
    </xf>
    <xf numFmtId="10" fontId="22" fillId="0" borderId="1" xfId="5" applyNumberFormat="1" applyFont="1" applyFill="1" applyBorder="1" applyAlignment="1">
      <alignment horizontal="left"/>
    </xf>
    <xf numFmtId="169" fontId="22"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22" fillId="0" borderId="1" xfId="0" applyFont="1" applyBorder="1" applyAlignment="1">
      <alignment horizontal="center"/>
    </xf>
    <xf numFmtId="0" fontId="33" fillId="0" borderId="0" xfId="0" applyFont="1" applyAlignment="1">
      <alignment horizontal="left" vertical="top" indent="1"/>
    </xf>
    <xf numFmtId="0" fontId="8" fillId="15" borderId="12" xfId="3" applyFont="1" applyFill="1" applyBorder="1" applyAlignment="1">
      <alignment horizontal="center" vertical="center"/>
    </xf>
    <xf numFmtId="0" fontId="8" fillId="15" borderId="10" xfId="3" applyFont="1" applyFill="1" applyBorder="1" applyAlignment="1">
      <alignment horizontal="center" vertical="center"/>
    </xf>
    <xf numFmtId="0" fontId="61" fillId="0" borderId="1" xfId="0" applyFont="1" applyBorder="1" applyAlignment="1">
      <alignment vertical="center" wrapText="1"/>
    </xf>
    <xf numFmtId="0" fontId="0" fillId="0" borderId="12" xfId="0" applyBorder="1"/>
    <xf numFmtId="0" fontId="0" fillId="0" borderId="14" xfId="0" applyBorder="1"/>
    <xf numFmtId="0" fontId="0" fillId="0" borderId="18" xfId="0" applyBorder="1"/>
    <xf numFmtId="0" fontId="45" fillId="0" borderId="0" xfId="0" applyFont="1" applyAlignment="1">
      <alignment vertical="center"/>
    </xf>
    <xf numFmtId="0" fontId="45" fillId="0" borderId="0" xfId="0" applyFont="1"/>
    <xf numFmtId="0" fontId="23" fillId="0" borderId="0" xfId="0" applyFont="1" applyAlignment="1">
      <alignment vertical="center"/>
    </xf>
    <xf numFmtId="0" fontId="63" fillId="0" borderId="0" xfId="0" applyFont="1" applyAlignment="1">
      <alignment vertical="center"/>
    </xf>
    <xf numFmtId="0" fontId="23" fillId="0" borderId="0" xfId="0" applyFont="1" applyAlignment="1">
      <alignment vertical="top"/>
    </xf>
    <xf numFmtId="0" fontId="63" fillId="0" borderId="0" xfId="0" applyFont="1" applyAlignment="1">
      <alignment vertical="top"/>
    </xf>
    <xf numFmtId="0" fontId="64" fillId="0" borderId="0" xfId="0" applyFont="1" applyAlignment="1">
      <alignment vertical="center"/>
    </xf>
    <xf numFmtId="0" fontId="64" fillId="0" borderId="0" xfId="0" applyFont="1" applyAlignment="1">
      <alignment horizontal="center" vertical="center"/>
    </xf>
    <xf numFmtId="0" fontId="19" fillId="0" borderId="10" xfId="3" applyFont="1" applyBorder="1" applyAlignment="1">
      <alignment horizontal="center" vertical="center" wrapText="1"/>
    </xf>
    <xf numFmtId="0" fontId="64"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8"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2" fontId="0" fillId="0" borderId="12" xfId="0" applyNumberFormat="1" applyBorder="1"/>
    <xf numFmtId="2" fontId="0" fillId="0" borderId="14" xfId="0" applyNumberFormat="1" applyBorder="1"/>
    <xf numFmtId="2" fontId="0" fillId="0" borderId="18" xfId="0" applyNumberFormat="1" applyBorder="1"/>
    <xf numFmtId="1" fontId="6" fillId="0" borderId="32" xfId="2" applyNumberFormat="1" applyFont="1" applyFill="1" applyBorder="1" applyAlignment="1">
      <alignment horizontal="center"/>
    </xf>
    <xf numFmtId="1" fontId="6" fillId="0" borderId="32" xfId="2" applyNumberFormat="1" applyFont="1" applyFill="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61" fillId="0" borderId="1" xfId="0" applyFont="1" applyBorder="1" applyAlignment="1">
      <alignment horizontal="left" vertical="center" wrapText="1"/>
    </xf>
    <xf numFmtId="14" fontId="6" fillId="0" borderId="0" xfId="3" applyNumberFormat="1" applyAlignment="1">
      <alignment horizontal="left"/>
    </xf>
    <xf numFmtId="169" fontId="22" fillId="0" borderId="1" xfId="0" applyNumberFormat="1" applyFont="1" applyBorder="1" applyAlignment="1">
      <alignment horizontal="center"/>
    </xf>
    <xf numFmtId="4" fontId="22" fillId="0" borderId="0" xfId="0" applyNumberFormat="1" applyFont="1" applyAlignment="1">
      <alignment horizontal="center"/>
    </xf>
    <xf numFmtId="2" fontId="15" fillId="0" borderId="32" xfId="3" applyNumberFormat="1" applyFont="1" applyBorder="1" applyAlignment="1">
      <alignment horizontal="center" vertical="center"/>
    </xf>
    <xf numFmtId="14" fontId="0" fillId="0" borderId="16" xfId="0" applyNumberFormat="1" applyBorder="1"/>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8" fillId="0" borderId="0" xfId="3" applyFont="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6" fillId="0" borderId="1" xfId="3" applyBorder="1" applyAlignment="1">
      <alignment horizontal="center" vertical="center"/>
    </xf>
    <xf numFmtId="0" fontId="6" fillId="0" borderId="0" xfId="3" applyAlignment="1">
      <alignment horizontal="left"/>
    </xf>
    <xf numFmtId="171" fontId="3" fillId="0" borderId="0" xfId="0" applyNumberFormat="1" applyFont="1" applyAlignment="1" applyProtection="1">
      <alignment horizontal="left" vertical="center" wrapText="1"/>
      <protection locked="0"/>
    </xf>
    <xf numFmtId="0" fontId="22" fillId="0" borderId="74" xfId="0" applyFont="1" applyBorder="1" applyAlignment="1">
      <alignment horizontal="left" vertical="center" wrapText="1"/>
    </xf>
    <xf numFmtId="0" fontId="22" fillId="0" borderId="0" xfId="0" applyFont="1" applyAlignment="1">
      <alignment horizontal="left" vertical="center" wrapText="1"/>
    </xf>
    <xf numFmtId="0" fontId="22" fillId="0" borderId="1" xfId="0" applyFont="1" applyBorder="1" applyAlignment="1">
      <alignment horizontal="left" vertical="center" wrapText="1"/>
    </xf>
    <xf numFmtId="171" fontId="22" fillId="0" borderId="77" xfId="0" applyNumberFormat="1" applyFont="1" applyBorder="1" applyAlignment="1">
      <alignment horizontal="left" vertical="center" wrapText="1"/>
    </xf>
    <xf numFmtId="168" fontId="22" fillId="0" borderId="1" xfId="0" quotePrefix="1" applyNumberFormat="1" applyFont="1" applyBorder="1" applyAlignment="1">
      <alignment horizontal="left" vertical="center" wrapText="1"/>
    </xf>
    <xf numFmtId="0" fontId="24" fillId="21" borderId="1" xfId="0" applyFont="1" applyFill="1" applyBorder="1" applyAlignment="1">
      <alignment horizontal="center"/>
    </xf>
    <xf numFmtId="0" fontId="24" fillId="0" borderId="0" xfId="0" applyFont="1" applyBorder="1"/>
    <xf numFmtId="0" fontId="22" fillId="0" borderId="0" xfId="0" applyFont="1" applyBorder="1"/>
    <xf numFmtId="0" fontId="22" fillId="0" borderId="0" xfId="0" applyFont="1" applyBorder="1" applyAlignment="1">
      <alignment horizontal="left"/>
    </xf>
    <xf numFmtId="0" fontId="24" fillId="12" borderId="1" xfId="0" applyFont="1" applyFill="1" applyBorder="1" applyAlignment="1">
      <alignment horizontal="left" vertical="center"/>
    </xf>
    <xf numFmtId="0" fontId="24" fillId="12" borderId="1" xfId="0" applyFont="1" applyFill="1" applyBorder="1" applyAlignment="1">
      <alignment vertical="center"/>
    </xf>
    <xf numFmtId="0" fontId="33" fillId="12" borderId="1" xfId="0" applyFont="1" applyFill="1" applyBorder="1"/>
    <xf numFmtId="0" fontId="24" fillId="9" borderId="1" xfId="0" applyFont="1" applyFill="1" applyBorder="1" applyAlignment="1">
      <alignment horizontal="left"/>
    </xf>
    <xf numFmtId="0" fontId="24" fillId="9" borderId="1" xfId="0" applyFont="1" applyFill="1" applyBorder="1" applyAlignment="1">
      <alignment horizontal="center"/>
    </xf>
    <xf numFmtId="0" fontId="30" fillId="9" borderId="1" xfId="0" applyFont="1" applyFill="1" applyBorder="1" applyAlignment="1">
      <alignment horizontal="center"/>
    </xf>
    <xf numFmtId="0" fontId="31" fillId="9" borderId="1" xfId="0" applyFont="1" applyFill="1" applyBorder="1" applyAlignment="1">
      <alignment horizontal="center"/>
    </xf>
    <xf numFmtId="0" fontId="35" fillId="0" borderId="0" xfId="0" applyFont="1" applyAlignment="1">
      <alignment horizontal="center"/>
    </xf>
    <xf numFmtId="0" fontId="32" fillId="0" borderId="0" xfId="0" applyFont="1" applyAlignment="1">
      <alignment horizontal="center"/>
    </xf>
    <xf numFmtId="0" fontId="37" fillId="0" borderId="5" xfId="0" applyFont="1" applyBorder="1" applyAlignment="1">
      <alignment horizontal="center" vertical="center"/>
    </xf>
    <xf numFmtId="0" fontId="37" fillId="0" borderId="0" xfId="0" applyFont="1" applyBorder="1" applyAlignment="1">
      <alignment horizontal="left" vertical="center" wrapText="1"/>
    </xf>
    <xf numFmtId="0" fontId="37" fillId="0" borderId="5" xfId="0" applyFont="1" applyBorder="1" applyAlignment="1">
      <alignment horizontal="left" vertical="center" wrapText="1"/>
    </xf>
    <xf numFmtId="0" fontId="37" fillId="0" borderId="13" xfId="0" applyFont="1" applyBorder="1" applyAlignment="1">
      <alignment horizontal="left" vertical="center" wrapText="1"/>
    </xf>
    <xf numFmtId="0" fontId="0" fillId="9" borderId="2" xfId="0" applyFill="1" applyBorder="1"/>
    <xf numFmtId="0" fontId="29" fillId="9" borderId="6" xfId="0" applyFont="1" applyFill="1" applyBorder="1" applyAlignment="1">
      <alignment vertical="center"/>
    </xf>
    <xf numFmtId="0" fontId="0" fillId="9" borderId="6" xfId="0" applyFill="1" applyBorder="1" applyAlignment="1">
      <alignment vertical="center"/>
    </xf>
    <xf numFmtId="0" fontId="29" fillId="9" borderId="2" xfId="0" applyFont="1" applyFill="1" applyBorder="1" applyAlignment="1">
      <alignment horizontal="centerContinuous" vertical="center"/>
    </xf>
    <xf numFmtId="0" fontId="29" fillId="9" borderId="6" xfId="0" applyFont="1" applyFill="1" applyBorder="1" applyAlignment="1">
      <alignment horizontal="centerContinuous"/>
    </xf>
    <xf numFmtId="0" fontId="29" fillId="9" borderId="3" xfId="0" applyFont="1" applyFill="1" applyBorder="1" applyAlignment="1">
      <alignment horizontal="centerContinuous"/>
    </xf>
    <xf numFmtId="0" fontId="8" fillId="0" borderId="93" xfId="3" applyFont="1" applyBorder="1" applyAlignment="1">
      <alignment horizontal="center" vertical="center" wrapText="1"/>
    </xf>
    <xf numFmtId="0" fontId="8" fillId="0" borderId="4" xfId="3" applyFont="1" applyBorder="1" applyAlignment="1">
      <alignment vertical="center"/>
    </xf>
    <xf numFmtId="0" fontId="6" fillId="0" borderId="0" xfId="3" applyBorder="1" applyAlignment="1">
      <alignment horizontal="center" vertical="center"/>
    </xf>
    <xf numFmtId="0" fontId="8" fillId="0" borderId="0" xfId="3" applyFont="1" applyBorder="1" applyAlignment="1">
      <alignment vertical="center"/>
    </xf>
    <xf numFmtId="0" fontId="8" fillId="0" borderId="2" xfId="3" applyFont="1" applyBorder="1" applyAlignment="1">
      <alignment horizontal="center" vertical="center"/>
    </xf>
    <xf numFmtId="0" fontId="6" fillId="0" borderId="0" xfId="3" applyBorder="1"/>
    <xf numFmtId="0" fontId="6" fillId="0" borderId="0" xfId="3" applyBorder="1" applyAlignment="1">
      <alignment horizontal="center"/>
    </xf>
    <xf numFmtId="0" fontId="6" fillId="0" borderId="0" xfId="3" applyBorder="1" applyAlignment="1">
      <alignment vertical="center"/>
    </xf>
    <xf numFmtId="0" fontId="24" fillId="9" borderId="1" xfId="0" applyFont="1" applyFill="1" applyBorder="1"/>
    <xf numFmtId="0" fontId="24" fillId="9" borderId="2" xfId="0" applyFont="1" applyFill="1" applyBorder="1" applyAlignment="1">
      <alignment horizontal="left"/>
    </xf>
    <xf numFmtId="0" fontId="24" fillId="9" borderId="3" xfId="0" applyFont="1" applyFill="1" applyBorder="1" applyAlignment="1">
      <alignment horizontal="left"/>
    </xf>
    <xf numFmtId="0" fontId="24" fillId="9" borderId="6" xfId="0" applyFont="1" applyFill="1" applyBorder="1" applyAlignment="1">
      <alignment horizontal="left"/>
    </xf>
    <xf numFmtId="0" fontId="24" fillId="9" borderId="1" xfId="0" applyFont="1" applyFill="1" applyBorder="1" applyAlignment="1">
      <alignment horizontal="left" vertical="center" wrapText="1"/>
    </xf>
    <xf numFmtId="0" fontId="45" fillId="0" borderId="99" xfId="0" applyFont="1" applyBorder="1" applyAlignment="1">
      <alignment horizontal="center"/>
    </xf>
    <xf numFmtId="0" fontId="45" fillId="0" borderId="19" xfId="0" applyFont="1" applyBorder="1" applyAlignment="1">
      <alignment horizontal="center"/>
    </xf>
    <xf numFmtId="0" fontId="45" fillId="0" borderId="97" xfId="0" applyFont="1" applyBorder="1" applyAlignment="1">
      <alignment horizontal="center"/>
    </xf>
    <xf numFmtId="0" fontId="45" fillId="0" borderId="100" xfId="0" applyFont="1" applyBorder="1" applyAlignment="1">
      <alignment horizontal="center"/>
    </xf>
    <xf numFmtId="0" fontId="45" fillId="0" borderId="0" xfId="0" applyFont="1" applyBorder="1" applyAlignment="1">
      <alignment horizontal="center"/>
    </xf>
    <xf numFmtId="0" fontId="45" fillId="0" borderId="98" xfId="0" applyFont="1" applyBorder="1" applyAlignment="1">
      <alignment horizontal="center"/>
    </xf>
    <xf numFmtId="0" fontId="45" fillId="0" borderId="96" xfId="0" applyFont="1" applyBorder="1" applyAlignment="1">
      <alignment horizontal="center"/>
    </xf>
    <xf numFmtId="0" fontId="45" fillId="0" borderId="26" xfId="0" applyFont="1" applyBorder="1" applyAlignment="1">
      <alignment horizontal="center"/>
    </xf>
    <xf numFmtId="0" fontId="45" fillId="0" borderId="92" xfId="0" applyFont="1" applyBorder="1" applyAlignment="1">
      <alignment horizontal="center"/>
    </xf>
    <xf numFmtId="0" fontId="64" fillId="0" borderId="99" xfId="0" applyFont="1" applyBorder="1" applyAlignment="1">
      <alignment horizontal="center" vertical="center" wrapText="1"/>
    </xf>
    <xf numFmtId="0" fontId="64" fillId="0" borderId="19" xfId="0" applyFont="1" applyBorder="1" applyAlignment="1">
      <alignment horizontal="center" vertical="center" wrapText="1"/>
    </xf>
    <xf numFmtId="0" fontId="64" fillId="0" borderId="97" xfId="0" applyFont="1" applyBorder="1" applyAlignment="1">
      <alignment horizontal="center" vertical="center" wrapText="1"/>
    </xf>
    <xf numFmtId="0" fontId="64" fillId="0" borderId="100" xfId="0" applyFont="1" applyBorder="1" applyAlignment="1">
      <alignment horizontal="center" vertical="center" wrapText="1"/>
    </xf>
    <xf numFmtId="0" fontId="64" fillId="0" borderId="0" xfId="0" applyFont="1" applyBorder="1" applyAlignment="1">
      <alignment horizontal="center" vertical="center" wrapText="1"/>
    </xf>
    <xf numFmtId="0" fontId="64" fillId="0" borderId="98" xfId="0" applyFont="1" applyBorder="1" applyAlignment="1">
      <alignment horizontal="center" vertical="center" wrapText="1"/>
    </xf>
    <xf numFmtId="0" fontId="64" fillId="0" borderId="96"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92" xfId="0" applyFont="1" applyBorder="1" applyAlignment="1">
      <alignment horizontal="center" vertical="center" wrapText="1"/>
    </xf>
    <xf numFmtId="0" fontId="67" fillId="0" borderId="99" xfId="0" applyFont="1" applyBorder="1" applyAlignment="1">
      <alignment horizontal="center" vertical="center"/>
    </xf>
    <xf numFmtId="0" fontId="67" fillId="0" borderId="19" xfId="0" applyFont="1" applyBorder="1" applyAlignment="1">
      <alignment horizontal="center" vertical="center"/>
    </xf>
    <xf numFmtId="0" fontId="67" fillId="0" borderId="97" xfId="0" applyFont="1" applyBorder="1" applyAlignment="1">
      <alignment horizontal="center" vertical="center"/>
    </xf>
    <xf numFmtId="0" fontId="67" fillId="0" borderId="96" xfId="0" applyFont="1" applyBorder="1" applyAlignment="1">
      <alignment horizontal="center" vertical="center"/>
    </xf>
    <xf numFmtId="0" fontId="67" fillId="0" borderId="26" xfId="0" applyFont="1" applyBorder="1" applyAlignment="1">
      <alignment horizontal="center" vertical="center"/>
    </xf>
    <xf numFmtId="0" fontId="67" fillId="0" borderId="92" xfId="0" applyFont="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9" borderId="2" xfId="0" applyFont="1" applyFill="1" applyBorder="1" applyAlignment="1">
      <alignment horizontal="center"/>
    </xf>
    <xf numFmtId="0" fontId="24" fillId="9" borderId="6" xfId="0" applyFont="1" applyFill="1" applyBorder="1" applyAlignment="1">
      <alignment horizontal="center"/>
    </xf>
    <xf numFmtId="0" fontId="24" fillId="9" borderId="3" xfId="0" applyFont="1" applyFill="1" applyBorder="1" applyAlignment="1">
      <alignment horizontal="center"/>
    </xf>
    <xf numFmtId="0" fontId="24" fillId="0" borderId="2" xfId="0" applyFont="1" applyBorder="1" applyAlignment="1">
      <alignment horizontal="center"/>
    </xf>
    <xf numFmtId="0" fontId="24" fillId="0" borderId="6" xfId="0" applyFont="1" applyBorder="1" applyAlignment="1">
      <alignment horizontal="center"/>
    </xf>
    <xf numFmtId="0" fontId="24" fillId="0" borderId="3" xfId="0" applyFont="1" applyBorder="1" applyAlignment="1">
      <alignment horizontal="center"/>
    </xf>
    <xf numFmtId="0" fontId="24" fillId="0" borderId="2" xfId="0" applyFont="1" applyBorder="1" applyAlignment="1">
      <alignment horizontal="left"/>
    </xf>
    <xf numFmtId="0" fontId="24" fillId="0" borderId="6" xfId="0" applyFont="1" applyBorder="1" applyAlignment="1">
      <alignment horizontal="left"/>
    </xf>
    <xf numFmtId="0" fontId="24" fillId="0" borderId="3" xfId="0" applyFont="1" applyBorder="1" applyAlignment="1">
      <alignment horizontal="left"/>
    </xf>
    <xf numFmtId="0" fontId="22" fillId="0" borderId="2" xfId="0" applyFont="1" applyBorder="1" applyAlignment="1">
      <alignment horizontal="left"/>
    </xf>
    <xf numFmtId="0" fontId="22" fillId="0" borderId="6" xfId="0" applyFont="1" applyBorder="1" applyAlignment="1">
      <alignment horizontal="left"/>
    </xf>
    <xf numFmtId="0" fontId="22"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24" fillId="12" borderId="2" xfId="0" applyFont="1" applyFill="1" applyBorder="1" applyAlignment="1">
      <alignment horizontal="center"/>
    </xf>
    <xf numFmtId="0" fontId="24" fillId="12" borderId="6" xfId="0" applyFont="1" applyFill="1" applyBorder="1" applyAlignment="1">
      <alignment horizontal="center"/>
    </xf>
    <xf numFmtId="0" fontId="24" fillId="12" borderId="3" xfId="0" applyFont="1" applyFill="1" applyBorder="1" applyAlignment="1">
      <alignment horizontal="center"/>
    </xf>
    <xf numFmtId="0" fontId="22" fillId="0" borderId="2" xfId="0" applyFont="1" applyBorder="1" applyAlignment="1">
      <alignment horizontal="center"/>
    </xf>
    <xf numFmtId="0" fontId="22" fillId="0" borderId="6" xfId="0" applyFont="1" applyBorder="1" applyAlignment="1">
      <alignment horizontal="center"/>
    </xf>
    <xf numFmtId="0" fontId="22" fillId="0" borderId="3" xfId="0" applyFont="1" applyBorder="1" applyAlignment="1">
      <alignment horizontal="center"/>
    </xf>
    <xf numFmtId="0" fontId="24" fillId="21" borderId="2" xfId="0" applyFont="1" applyFill="1" applyBorder="1" applyAlignment="1">
      <alignment horizontal="left"/>
    </xf>
    <xf numFmtId="0" fontId="24" fillId="21" borderId="6" xfId="0" applyFont="1" applyFill="1" applyBorder="1" applyAlignment="1">
      <alignment horizontal="left"/>
    </xf>
    <xf numFmtId="0" fontId="24" fillId="21" borderId="3" xfId="0" applyFont="1" applyFill="1" applyBorder="1" applyAlignment="1">
      <alignment horizontal="left"/>
    </xf>
    <xf numFmtId="0" fontId="22" fillId="10" borderId="1" xfId="0" applyFont="1" applyFill="1" applyBorder="1" applyAlignment="1">
      <alignment horizontal="center" vertical="center" wrapText="1"/>
    </xf>
    <xf numFmtId="0" fontId="0" fillId="0" borderId="3" xfId="0" applyBorder="1"/>
    <xf numFmtId="0" fontId="43" fillId="0" borderId="2" xfId="0" applyFont="1" applyBorder="1" applyAlignment="1">
      <alignment horizontal="left"/>
    </xf>
    <xf numFmtId="0" fontId="43" fillId="0" borderId="6" xfId="0" applyFont="1" applyBorder="1" applyAlignment="1">
      <alignment horizontal="left"/>
    </xf>
    <xf numFmtId="0" fontId="43" fillId="0" borderId="3" xfId="0" applyFont="1" applyBorder="1" applyAlignment="1">
      <alignment horizontal="left"/>
    </xf>
    <xf numFmtId="0" fontId="22" fillId="10" borderId="2" xfId="0" applyFont="1" applyFill="1" applyBorder="1" applyAlignment="1">
      <alignment horizontal="center" vertical="center" wrapText="1"/>
    </xf>
    <xf numFmtId="0" fontId="22" fillId="10" borderId="6"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24" fillId="0" borderId="10" xfId="0" applyFont="1" applyBorder="1" applyAlignment="1">
      <alignment horizontal="center"/>
    </xf>
    <xf numFmtId="0" fontId="24" fillId="0" borderId="4" xfId="0" applyFont="1" applyBorder="1" applyAlignment="1">
      <alignment horizontal="center"/>
    </xf>
    <xf numFmtId="0" fontId="24" fillId="0" borderId="1" xfId="0" applyFont="1" applyBorder="1" applyAlignment="1">
      <alignment horizontal="center"/>
    </xf>
    <xf numFmtId="0" fontId="22" fillId="10" borderId="10"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5"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7"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4" fillId="12" borderId="3" xfId="0" applyFont="1" applyFill="1" applyBorder="1" applyAlignment="1">
      <alignment horizontal="left" vertical="center" wrapText="1"/>
    </xf>
    <xf numFmtId="0" fontId="22" fillId="0" borderId="0" xfId="0" applyFont="1" applyAlignment="1">
      <alignment horizontal="center"/>
    </xf>
    <xf numFmtId="0" fontId="22" fillId="11" borderId="54" xfId="0" applyFont="1" applyFill="1" applyBorder="1" applyAlignment="1">
      <alignment horizontal="center" vertical="center"/>
    </xf>
    <xf numFmtId="0" fontId="22" fillId="11" borderId="55" xfId="0" applyFont="1"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2" fillId="13" borderId="2" xfId="0" applyFont="1" applyFill="1" applyBorder="1" applyAlignment="1">
      <alignment horizontal="left"/>
    </xf>
    <xf numFmtId="0" fontId="22" fillId="13" borderId="6" xfId="0" applyFont="1" applyFill="1" applyBorder="1" applyAlignment="1">
      <alignment horizontal="left"/>
    </xf>
    <xf numFmtId="0" fontId="22" fillId="13" borderId="3" xfId="0" applyFont="1" applyFill="1" applyBorder="1" applyAlignment="1">
      <alignment horizontal="left"/>
    </xf>
    <xf numFmtId="0" fontId="23" fillId="0" borderId="2" xfId="0" applyFont="1" applyBorder="1" applyAlignment="1">
      <alignment horizontal="left"/>
    </xf>
    <xf numFmtId="0" fontId="23" fillId="0" borderId="6" xfId="0" applyFont="1" applyBorder="1" applyAlignment="1">
      <alignment horizontal="left"/>
    </xf>
    <xf numFmtId="0" fontId="23" fillId="0" borderId="3" xfId="0" applyFont="1" applyBorder="1" applyAlignment="1">
      <alignment horizontal="left"/>
    </xf>
    <xf numFmtId="0" fontId="22" fillId="13" borderId="2" xfId="0" applyFont="1" applyFill="1" applyBorder="1" applyAlignment="1">
      <alignment horizontal="left" vertical="center"/>
    </xf>
    <xf numFmtId="0" fontId="22" fillId="13" borderId="6" xfId="0" applyFont="1" applyFill="1" applyBorder="1" applyAlignment="1">
      <alignment horizontal="left" vertical="center"/>
    </xf>
    <xf numFmtId="0" fontId="22" fillId="13" borderId="3" xfId="0" applyFont="1" applyFill="1" applyBorder="1" applyAlignment="1">
      <alignment horizontal="left" vertical="center"/>
    </xf>
    <xf numFmtId="0" fontId="22" fillId="11" borderId="54" xfId="0" applyFont="1" applyFill="1" applyBorder="1" applyAlignment="1">
      <alignment horizontal="left" vertical="center"/>
    </xf>
    <xf numFmtId="0" fontId="22" fillId="11" borderId="55" xfId="0" applyFont="1" applyFill="1" applyBorder="1" applyAlignment="1">
      <alignment horizontal="left" vertical="center"/>
    </xf>
    <xf numFmtId="0" fontId="22" fillId="11" borderId="56" xfId="0" applyFont="1" applyFill="1" applyBorder="1" applyAlignment="1">
      <alignment horizontal="left" vertical="center"/>
    </xf>
    <xf numFmtId="0" fontId="22" fillId="11" borderId="57" xfId="0" applyFont="1" applyFill="1" applyBorder="1" applyAlignment="1">
      <alignment horizontal="left" vertical="center"/>
    </xf>
    <xf numFmtId="0" fontId="22" fillId="11" borderId="58" xfId="0" applyFont="1" applyFill="1" applyBorder="1" applyAlignment="1">
      <alignment horizontal="left" vertical="center"/>
    </xf>
    <xf numFmtId="0" fontId="22" fillId="11" borderId="59" xfId="0" applyFont="1" applyFill="1" applyBorder="1" applyAlignment="1">
      <alignment horizontal="left" vertical="center"/>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24" fillId="9" borderId="2" xfId="0" applyFont="1" applyFill="1" applyBorder="1" applyAlignment="1">
      <alignment horizontal="left"/>
    </xf>
    <xf numFmtId="0" fontId="24" fillId="9" borderId="6" xfId="0" applyFont="1" applyFill="1" applyBorder="1" applyAlignment="1">
      <alignment horizontal="left"/>
    </xf>
    <xf numFmtId="0" fontId="24" fillId="9" borderId="3" xfId="0" applyFont="1" applyFill="1" applyBorder="1" applyAlignment="1">
      <alignment horizontal="left"/>
    </xf>
    <xf numFmtId="0" fontId="22" fillId="0" borderId="2" xfId="0" applyFont="1" applyBorder="1" applyAlignment="1">
      <alignment horizontal="left" wrapText="1"/>
    </xf>
    <xf numFmtId="0" fontId="22" fillId="0" borderId="6" xfId="0" applyFont="1" applyBorder="1" applyAlignment="1">
      <alignment horizontal="left" wrapText="1"/>
    </xf>
    <xf numFmtId="0" fontId="22" fillId="0" borderId="3" xfId="0" applyFont="1" applyBorder="1" applyAlignment="1">
      <alignment horizontal="left" wrapText="1"/>
    </xf>
    <xf numFmtId="0" fontId="25" fillId="0" borderId="0" xfId="0" applyFont="1" applyAlignment="1">
      <alignment horizontal="center"/>
    </xf>
    <xf numFmtId="0" fontId="24" fillId="9" borderId="2" xfId="0" applyFont="1" applyFill="1" applyBorder="1" applyAlignment="1">
      <alignment horizontal="left" vertical="center" wrapText="1"/>
    </xf>
    <xf numFmtId="0" fontId="24" fillId="9" borderId="6"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0" fillId="0" borderId="99" xfId="0" applyBorder="1" applyAlignment="1">
      <alignment horizontal="center"/>
    </xf>
    <xf numFmtId="0" fontId="0" fillId="0" borderId="19" xfId="0" applyBorder="1" applyAlignment="1">
      <alignment horizontal="center"/>
    </xf>
    <xf numFmtId="0" fontId="0" fillId="0" borderId="97" xfId="0" applyBorder="1" applyAlignment="1">
      <alignment horizontal="center"/>
    </xf>
    <xf numFmtId="0" fontId="0" fillId="0" borderId="100" xfId="0" applyBorder="1" applyAlignment="1">
      <alignment horizontal="center"/>
    </xf>
    <xf numFmtId="0" fontId="0" fillId="0" borderId="0" xfId="0" applyBorder="1" applyAlignment="1">
      <alignment horizontal="center"/>
    </xf>
    <xf numFmtId="0" fontId="0" fillId="0" borderId="98" xfId="0" applyBorder="1" applyAlignment="1">
      <alignment horizontal="center"/>
    </xf>
    <xf numFmtId="0" fontId="0" fillId="0" borderId="96" xfId="0" applyBorder="1" applyAlignment="1">
      <alignment horizontal="center"/>
    </xf>
    <xf numFmtId="0" fontId="0" fillId="0" borderId="26" xfId="0" applyBorder="1" applyAlignment="1">
      <alignment horizontal="center"/>
    </xf>
    <xf numFmtId="0" fontId="0" fillId="0" borderId="92" xfId="0" applyBorder="1" applyAlignment="1">
      <alignment horizontal="center"/>
    </xf>
    <xf numFmtId="0" fontId="68" fillId="0" borderId="99" xfId="0" applyFont="1" applyBorder="1" applyAlignment="1">
      <alignment horizontal="center" wrapText="1"/>
    </xf>
    <xf numFmtId="0" fontId="68" fillId="0" borderId="19" xfId="0" applyFont="1" applyBorder="1" applyAlignment="1">
      <alignment horizontal="center" wrapText="1"/>
    </xf>
    <xf numFmtId="0" fontId="68" fillId="0" borderId="97" xfId="0" applyFont="1" applyBorder="1" applyAlignment="1">
      <alignment horizontal="center" wrapText="1"/>
    </xf>
    <xf numFmtId="0" fontId="68" fillId="0" borderId="100" xfId="0" applyFont="1" applyBorder="1" applyAlignment="1">
      <alignment horizontal="center" wrapText="1"/>
    </xf>
    <xf numFmtId="0" fontId="68" fillId="0" borderId="0" xfId="0" applyFont="1" applyBorder="1" applyAlignment="1">
      <alignment horizontal="center" wrapText="1"/>
    </xf>
    <xf numFmtId="0" fontId="68" fillId="0" borderId="98" xfId="0" applyFont="1" applyBorder="1" applyAlignment="1">
      <alignment horizontal="center" wrapText="1"/>
    </xf>
    <xf numFmtId="0" fontId="68" fillId="0" borderId="96" xfId="0" applyFont="1" applyBorder="1" applyAlignment="1">
      <alignment horizontal="center" wrapText="1"/>
    </xf>
    <xf numFmtId="0" fontId="68" fillId="0" borderId="26" xfId="0" applyFont="1" applyBorder="1" applyAlignment="1">
      <alignment horizontal="center" wrapText="1"/>
    </xf>
    <xf numFmtId="0" fontId="68" fillId="0" borderId="92" xfId="0" applyFont="1" applyBorder="1" applyAlignment="1">
      <alignment horizontal="center" wrapText="1"/>
    </xf>
    <xf numFmtId="0" fontId="29" fillId="0" borderId="99" xfId="0" applyFont="1" applyBorder="1" applyAlignment="1">
      <alignment horizontal="center" vertical="center"/>
    </xf>
    <xf numFmtId="0" fontId="29" fillId="0" borderId="19" xfId="0" applyFont="1" applyBorder="1" applyAlignment="1">
      <alignment horizontal="center" vertical="center"/>
    </xf>
    <xf numFmtId="0" fontId="29" fillId="0" borderId="97" xfId="0" applyFont="1" applyBorder="1" applyAlignment="1">
      <alignment horizontal="center" vertical="center"/>
    </xf>
    <xf numFmtId="0" fontId="29" fillId="0" borderId="96" xfId="0" applyFont="1" applyBorder="1" applyAlignment="1">
      <alignment horizontal="center" vertical="center"/>
    </xf>
    <xf numFmtId="0" fontId="29" fillId="0" borderId="26" xfId="0" applyFont="1" applyBorder="1" applyAlignment="1">
      <alignment horizontal="center" vertical="center"/>
    </xf>
    <xf numFmtId="0" fontId="29" fillId="0" borderId="92" xfId="0" applyFont="1" applyBorder="1" applyAlignment="1">
      <alignment horizontal="center" vertical="center"/>
    </xf>
    <xf numFmtId="0" fontId="14" fillId="10" borderId="10"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11"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7" xfId="0" applyFont="1" applyFill="1" applyBorder="1" applyAlignment="1">
      <alignment horizontal="center" vertical="center" wrapText="1"/>
    </xf>
    <xf numFmtId="0" fontId="29" fillId="0" borderId="89" xfId="0" applyFont="1" applyBorder="1" applyAlignment="1">
      <alignment horizontal="center"/>
    </xf>
    <xf numFmtId="0" fontId="29" fillId="0" borderId="94" xfId="0" applyFont="1" applyBorder="1" applyAlignment="1">
      <alignment horizontal="center"/>
    </xf>
    <xf numFmtId="0" fontId="29" fillId="0" borderId="95" xfId="0" applyFont="1" applyBorder="1" applyAlignment="1">
      <alignment horizontal="center"/>
    </xf>
    <xf numFmtId="0" fontId="21" fillId="0" borderId="99" xfId="0" applyFont="1" applyBorder="1" applyAlignment="1">
      <alignment horizontal="center" wrapText="1"/>
    </xf>
    <xf numFmtId="0" fontId="21" fillId="0" borderId="19" xfId="0" applyFont="1" applyBorder="1" applyAlignment="1">
      <alignment horizontal="center" wrapText="1"/>
    </xf>
    <xf numFmtId="0" fontId="21" fillId="0" borderId="100" xfId="0" applyFont="1" applyBorder="1" applyAlignment="1">
      <alignment horizontal="center" wrapText="1"/>
    </xf>
    <xf numFmtId="0" fontId="21" fillId="0" borderId="0" xfId="0" applyFont="1" applyBorder="1" applyAlignment="1">
      <alignment horizontal="center" wrapText="1"/>
    </xf>
    <xf numFmtId="0" fontId="21" fillId="0" borderId="96" xfId="0" applyFont="1" applyBorder="1" applyAlignment="1">
      <alignment horizontal="center" wrapText="1"/>
    </xf>
    <xf numFmtId="0" fontId="21" fillId="0" borderId="26" xfId="0" applyFont="1" applyBorder="1" applyAlignment="1">
      <alignment horizontal="center" wrapText="1"/>
    </xf>
    <xf numFmtId="0" fontId="21" fillId="0" borderId="97" xfId="0" applyFont="1" applyBorder="1" applyAlignment="1">
      <alignment horizontal="center" wrapText="1"/>
    </xf>
    <xf numFmtId="0" fontId="21" fillId="0" borderId="98" xfId="0" applyFont="1" applyBorder="1" applyAlignment="1">
      <alignment horizontal="center" wrapText="1"/>
    </xf>
    <xf numFmtId="0" fontId="21" fillId="0" borderId="92" xfId="0" applyFont="1" applyBorder="1" applyAlignment="1">
      <alignment horizontal="center" wrapText="1"/>
    </xf>
    <xf numFmtId="0" fontId="21" fillId="11" borderId="89" xfId="0" applyFont="1" applyFill="1" applyBorder="1" applyAlignment="1">
      <alignment horizontal="center" vertical="center"/>
    </xf>
    <xf numFmtId="0" fontId="21" fillId="11" borderId="94" xfId="0" applyFont="1" applyFill="1" applyBorder="1" applyAlignment="1">
      <alignment horizontal="center" vertical="center"/>
    </xf>
    <xf numFmtId="0" fontId="21" fillId="11" borderId="95" xfId="0" applyFont="1" applyFill="1" applyBorder="1" applyAlignment="1">
      <alignment horizontal="center" vertical="center"/>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37" fillId="0" borderId="104" xfId="0" applyFont="1" applyBorder="1" applyAlignment="1">
      <alignment horizontal="center" vertical="center" wrapText="1"/>
    </xf>
    <xf numFmtId="0" fontId="0" fillId="0" borderId="38" xfId="0" applyBorder="1" applyAlignment="1">
      <alignment wrapText="1"/>
    </xf>
    <xf numFmtId="0" fontId="0" fillId="0" borderId="46" xfId="0" applyBorder="1" applyAlignment="1">
      <alignment wrapText="1"/>
    </xf>
    <xf numFmtId="0" fontId="0" fillId="0" borderId="52" xfId="0" applyBorder="1" applyAlignment="1">
      <alignment wrapText="1"/>
    </xf>
    <xf numFmtId="0" fontId="37" fillId="0" borderId="60" xfId="0" applyFont="1" applyBorder="1" applyAlignment="1">
      <alignment horizontal="left" vertical="center" wrapText="1"/>
    </xf>
    <xf numFmtId="0" fontId="37" fillId="0" borderId="61" xfId="0" applyFont="1" applyBorder="1" applyAlignment="1">
      <alignment horizontal="left" vertical="center" wrapText="1"/>
    </xf>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37" fillId="0" borderId="60" xfId="0" applyFont="1" applyBorder="1" applyAlignment="1">
      <alignment wrapText="1"/>
    </xf>
    <xf numFmtId="0" fontId="37" fillId="0" borderId="61" xfId="0" applyFont="1" applyBorder="1" applyAlignment="1">
      <alignment wrapText="1"/>
    </xf>
    <xf numFmtId="0" fontId="37" fillId="0" borderId="102" xfId="0" applyFont="1" applyBorder="1" applyAlignment="1">
      <alignment horizontal="left" vertical="center" wrapText="1"/>
    </xf>
    <xf numFmtId="0" fontId="37" fillId="0" borderId="103" xfId="0" applyFont="1" applyBorder="1" applyAlignment="1">
      <alignment horizontal="left" vertical="center" wrapText="1"/>
    </xf>
    <xf numFmtId="0" fontId="37" fillId="0" borderId="38" xfId="0" applyFont="1" applyBorder="1" applyAlignment="1">
      <alignment horizontal="center" vertical="center" wrapText="1"/>
    </xf>
    <xf numFmtId="0" fontId="37" fillId="0" borderId="46" xfId="0" applyFont="1" applyBorder="1" applyAlignment="1">
      <alignment horizontal="center" vertical="center" wrapText="1"/>
    </xf>
    <xf numFmtId="0" fontId="37" fillId="0" borderId="52" xfId="0" applyFont="1" applyBorder="1" applyAlignment="1">
      <alignment horizontal="center" vertical="center" wrapText="1"/>
    </xf>
    <xf numFmtId="0" fontId="37" fillId="0" borderId="101" xfId="0" applyFont="1" applyBorder="1" applyAlignment="1">
      <alignment horizontal="left" vertical="center" wrapText="1"/>
    </xf>
    <xf numFmtId="0" fontId="23" fillId="9" borderId="54" xfId="0" applyFont="1" applyFill="1" applyBorder="1" applyAlignment="1">
      <alignment vertical="center"/>
    </xf>
    <xf numFmtId="0" fontId="0" fillId="9" borderId="55" xfId="0" applyFill="1" applyBorder="1" applyAlignment="1">
      <alignment vertical="center"/>
    </xf>
    <xf numFmtId="0" fontId="0" fillId="9" borderId="56" xfId="0" applyFill="1" applyBorder="1" applyAlignment="1">
      <alignment vertical="center"/>
    </xf>
    <xf numFmtId="0" fontId="0" fillId="9" borderId="57" xfId="0" applyFill="1" applyBorder="1" applyAlignment="1">
      <alignment vertical="center"/>
    </xf>
    <xf numFmtId="0" fontId="0" fillId="9" borderId="58" xfId="0" applyFill="1" applyBorder="1" applyAlignment="1">
      <alignment vertical="center"/>
    </xf>
    <xf numFmtId="0" fontId="0" fillId="9" borderId="59" xfId="0" applyFill="1" applyBorder="1" applyAlignment="1">
      <alignment vertical="center"/>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6" fillId="0" borderId="89" xfId="3" applyBorder="1" applyAlignment="1">
      <alignment horizontal="center" vertical="center"/>
    </xf>
    <xf numFmtId="0" fontId="6" fillId="0" borderId="95" xfId="3" applyBorder="1" applyAlignment="1">
      <alignment horizontal="center" vertical="center"/>
    </xf>
    <xf numFmtId="0" fontId="8" fillId="15" borderId="1" xfId="3" applyFont="1" applyFill="1" applyBorder="1" applyAlignment="1">
      <alignment horizontal="center" vertical="center"/>
    </xf>
    <xf numFmtId="0" fontId="34" fillId="0" borderId="0" xfId="0" applyFont="1" applyAlignment="1">
      <alignment horizontal="center" vertical="center"/>
    </xf>
    <xf numFmtId="0" fontId="17" fillId="0" borderId="0" xfId="3" applyFont="1" applyAlignment="1">
      <alignment horizontal="left"/>
    </xf>
    <xf numFmtId="0" fontId="6" fillId="0" borderId="38" xfId="3" applyBorder="1" applyAlignment="1">
      <alignment horizontal="center" vertical="center"/>
    </xf>
    <xf numFmtId="0" fontId="6" fillId="0" borderId="52" xfId="3" applyBorder="1" applyAlignment="1">
      <alignment horizontal="center" vertical="center"/>
    </xf>
    <xf numFmtId="0" fontId="6" fillId="0" borderId="34" xfId="3" applyBorder="1" applyAlignment="1">
      <alignment horizontal="center" vertical="center"/>
    </xf>
    <xf numFmtId="0" fontId="6" fillId="0" borderId="105" xfId="3" applyBorder="1" applyAlignment="1">
      <alignment horizontal="center" vertical="center"/>
    </xf>
    <xf numFmtId="0" fontId="15" fillId="0" borderId="38" xfId="3" applyFont="1" applyBorder="1" applyAlignment="1">
      <alignment horizontal="left" vertical="center"/>
    </xf>
    <xf numFmtId="0" fontId="15" fillId="0" borderId="52" xfId="3" applyFont="1" applyBorder="1" applyAlignment="1">
      <alignment horizontal="left" vertical="center"/>
    </xf>
    <xf numFmtId="0" fontId="6" fillId="0" borderId="94" xfId="3" applyBorder="1" applyAlignment="1">
      <alignment horizontal="center" vertical="center"/>
    </xf>
    <xf numFmtId="0" fontId="38" fillId="10" borderId="69" xfId="3" applyFont="1" applyFill="1" applyBorder="1" applyAlignment="1">
      <alignment horizontal="center" vertical="center"/>
    </xf>
    <xf numFmtId="0" fontId="38" fillId="10" borderId="106" xfId="3" applyFont="1" applyFill="1" applyBorder="1" applyAlignment="1">
      <alignment horizontal="center" vertical="center"/>
    </xf>
    <xf numFmtId="0" fontId="38" fillId="10" borderId="5" xfId="3" applyFont="1" applyFill="1" applyBorder="1" applyAlignment="1">
      <alignment horizontal="center" vertical="center"/>
    </xf>
    <xf numFmtId="0" fontId="38" fillId="10" borderId="13" xfId="3" applyFont="1" applyFill="1" applyBorder="1" applyAlignment="1">
      <alignment horizontal="center" vertical="center"/>
    </xf>
    <xf numFmtId="0" fontId="38" fillId="10" borderId="70" xfId="3" applyFont="1" applyFill="1" applyBorder="1" applyAlignment="1">
      <alignment horizontal="center" vertical="center"/>
    </xf>
    <xf numFmtId="0" fontId="38" fillId="10" borderId="107" xfId="3" applyFont="1" applyFill="1" applyBorder="1" applyAlignment="1">
      <alignment horizontal="center" vertical="center"/>
    </xf>
    <xf numFmtId="0" fontId="8" fillId="0" borderId="89" xfId="3" applyFont="1" applyBorder="1" applyAlignment="1">
      <alignment horizontal="center" vertical="center" wrapText="1"/>
    </xf>
    <xf numFmtId="0" fontId="8" fillId="0" borderId="94" xfId="3" applyFont="1" applyBorder="1" applyAlignment="1">
      <alignment horizontal="center" vertical="center" wrapText="1"/>
    </xf>
    <xf numFmtId="0" fontId="8" fillId="0" borderId="95" xfId="3" applyFont="1" applyBorder="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17" fillId="0" borderId="1" xfId="3" applyFont="1" applyBorder="1" applyAlignment="1">
      <alignment horizontal="center" vertical="center"/>
    </xf>
    <xf numFmtId="0" fontId="6" fillId="0" borderId="1" xfId="3" applyBorder="1" applyAlignment="1">
      <alignment horizontal="center" vertical="center"/>
    </xf>
    <xf numFmtId="0" fontId="38" fillId="10" borderId="45" xfId="3" applyFont="1" applyFill="1" applyBorder="1" applyAlignment="1">
      <alignment horizontal="center" vertical="center"/>
    </xf>
    <xf numFmtId="0" fontId="38" fillId="10" borderId="67" xfId="3" applyFont="1" applyFill="1" applyBorder="1" applyAlignment="1">
      <alignment horizontal="center" vertical="center"/>
    </xf>
    <xf numFmtId="0" fontId="46" fillId="0" borderId="68" xfId="0" applyFont="1" applyBorder="1" applyAlignment="1">
      <alignment horizontal="center" vertical="center"/>
    </xf>
    <xf numFmtId="0" fontId="46" fillId="10" borderId="71" xfId="0" applyFont="1" applyFill="1" applyBorder="1" applyAlignment="1">
      <alignment horizontal="center" vertical="center"/>
    </xf>
    <xf numFmtId="0" fontId="46" fillId="10" borderId="14" xfId="0" applyFont="1" applyFill="1" applyBorder="1" applyAlignment="1">
      <alignment horizontal="center" vertical="center"/>
    </xf>
    <xf numFmtId="0" fontId="46" fillId="10" borderId="72" xfId="0" applyFont="1" applyFill="1" applyBorder="1" applyAlignment="1">
      <alignment horizontal="center" vertical="center"/>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17" fillId="0" borderId="2" xfId="3" applyFont="1" applyBorder="1" applyAlignment="1">
      <alignment horizontal="center" vertical="center"/>
    </xf>
    <xf numFmtId="0" fontId="17" fillId="0" borderId="6" xfId="3" applyFont="1" applyBorder="1" applyAlignment="1">
      <alignment horizontal="center" vertical="center"/>
    </xf>
    <xf numFmtId="0" fontId="17" fillId="0" borderId="3" xfId="3" applyFont="1" applyBorder="1" applyAlignment="1">
      <alignment horizontal="center" vertical="center"/>
    </xf>
    <xf numFmtId="167" fontId="8" fillId="0" borderId="62" xfId="3" applyNumberFormat="1" applyFont="1" applyBorder="1" applyAlignment="1">
      <alignment horizontal="center" vertical="center"/>
    </xf>
    <xf numFmtId="0" fontId="21" fillId="0" borderId="63" xfId="0" applyFont="1" applyBorder="1"/>
    <xf numFmtId="0" fontId="21" fillId="0" borderId="64" xfId="0" applyFont="1" applyBorder="1"/>
    <xf numFmtId="0" fontId="38" fillId="10" borderId="62" xfId="3" applyFont="1" applyFill="1" applyBorder="1" applyAlignment="1">
      <alignment horizontal="center" vertical="justify"/>
    </xf>
    <xf numFmtId="0" fontId="46" fillId="0" borderId="63" xfId="0" applyFont="1" applyBorder="1" applyAlignment="1">
      <alignment horizontal="center" vertical="justify"/>
    </xf>
    <xf numFmtId="0" fontId="46" fillId="0" borderId="64" xfId="0" applyFont="1" applyBorder="1" applyAlignment="1">
      <alignment horizontal="center" vertical="justify"/>
    </xf>
    <xf numFmtId="0" fontId="37" fillId="10" borderId="62" xfId="0" applyFont="1" applyFill="1" applyBorder="1" applyAlignment="1">
      <alignment horizontal="center" vertical="center" textRotation="90" wrapText="1"/>
    </xf>
    <xf numFmtId="0" fontId="37" fillId="10" borderId="63" xfId="0" applyFont="1" applyFill="1" applyBorder="1" applyAlignment="1">
      <alignment horizontal="center" vertical="center" textRotation="90" wrapText="1"/>
    </xf>
    <xf numFmtId="0" fontId="37" fillId="10" borderId="64" xfId="0" applyFont="1" applyFill="1" applyBorder="1" applyAlignment="1">
      <alignment horizontal="center" vertical="center" textRotation="90" wrapText="1"/>
    </xf>
    <xf numFmtId="0" fontId="38" fillId="10" borderId="65" xfId="3" applyFont="1" applyFill="1" applyBorder="1" applyAlignment="1">
      <alignment horizontal="center" vertical="center"/>
    </xf>
    <xf numFmtId="0" fontId="38" fillId="10" borderId="66" xfId="3" applyFont="1" applyFill="1" applyBorder="1" applyAlignment="1">
      <alignment horizontal="center" vertical="center"/>
    </xf>
    <xf numFmtId="0" fontId="6" fillId="0" borderId="99" xfId="3" applyBorder="1" applyAlignment="1">
      <alignment horizontal="center"/>
    </xf>
    <xf numFmtId="0" fontId="6" fillId="0" borderId="19" xfId="3" applyBorder="1" applyAlignment="1">
      <alignment horizontal="center"/>
    </xf>
    <xf numFmtId="0" fontId="6" fillId="0" borderId="100" xfId="3" applyBorder="1" applyAlignment="1">
      <alignment horizontal="center"/>
    </xf>
    <xf numFmtId="0" fontId="6" fillId="0" borderId="0" xfId="3" applyBorder="1" applyAlignment="1">
      <alignment horizontal="center"/>
    </xf>
    <xf numFmtId="0" fontId="6" fillId="0" borderId="96" xfId="3" applyBorder="1" applyAlignment="1">
      <alignment horizontal="center"/>
    </xf>
    <xf numFmtId="0" fontId="6" fillId="0" borderId="26" xfId="3" applyBorder="1" applyAlignment="1">
      <alignment horizontal="center"/>
    </xf>
    <xf numFmtId="0" fontId="8" fillId="0" borderId="99" xfId="3" applyFont="1" applyBorder="1" applyAlignment="1">
      <alignment horizontal="center" vertical="center" wrapText="1"/>
    </xf>
    <xf numFmtId="0" fontId="8" fillId="0" borderId="19" xfId="3" applyFont="1" applyBorder="1" applyAlignment="1">
      <alignment horizontal="center" vertical="center" wrapText="1"/>
    </xf>
    <xf numFmtId="0" fontId="8" fillId="0" borderId="97" xfId="3" applyFont="1" applyBorder="1" applyAlignment="1">
      <alignment horizontal="center" vertical="center" wrapText="1"/>
    </xf>
    <xf numFmtId="0" fontId="8" fillId="0" borderId="100" xfId="3" applyFont="1" applyBorder="1" applyAlignment="1">
      <alignment horizontal="center" vertical="center" wrapText="1"/>
    </xf>
    <xf numFmtId="0" fontId="8" fillId="0" borderId="0" xfId="3" applyFont="1" applyBorder="1" applyAlignment="1">
      <alignment horizontal="center" vertical="center" wrapText="1"/>
    </xf>
    <xf numFmtId="0" fontId="8" fillId="0" borderId="98" xfId="3" applyFont="1" applyBorder="1" applyAlignment="1">
      <alignment horizontal="center" vertical="center" wrapText="1"/>
    </xf>
    <xf numFmtId="0" fontId="8" fillId="0" borderId="96" xfId="3" applyFont="1" applyBorder="1" applyAlignment="1">
      <alignment horizontal="center" vertical="center" wrapText="1"/>
    </xf>
    <xf numFmtId="0" fontId="8" fillId="0" borderId="26" xfId="3" applyFont="1" applyBorder="1" applyAlignment="1">
      <alignment horizontal="center" vertical="center" wrapText="1"/>
    </xf>
    <xf numFmtId="0" fontId="8" fillId="0" borderId="92" xfId="3" applyFont="1" applyBorder="1" applyAlignment="1">
      <alignment horizontal="center" vertical="center" wrapText="1"/>
    </xf>
    <xf numFmtId="0" fontId="6" fillId="0" borderId="97" xfId="3" applyBorder="1" applyAlignment="1">
      <alignment horizontal="center"/>
    </xf>
    <xf numFmtId="0" fontId="6" fillId="0" borderId="98" xfId="3" applyBorder="1" applyAlignment="1">
      <alignment horizontal="center"/>
    </xf>
    <xf numFmtId="0" fontId="6" fillId="0" borderId="92" xfId="3" applyBorder="1" applyAlignment="1">
      <alignment horizontal="center"/>
    </xf>
    <xf numFmtId="0" fontId="6" fillId="15"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62" fillId="0" borderId="10" xfId="3" applyFont="1" applyBorder="1" applyAlignment="1">
      <alignment horizontal="left" vertical="top" wrapText="1"/>
    </xf>
    <xf numFmtId="0" fontId="62" fillId="0" borderId="4" xfId="3" applyFont="1" applyBorder="1" applyAlignment="1">
      <alignment horizontal="left" vertical="top" wrapText="1"/>
    </xf>
    <xf numFmtId="0" fontId="62" fillId="0" borderId="11" xfId="3" applyFont="1" applyBorder="1" applyAlignment="1">
      <alignment horizontal="left" vertical="top" wrapText="1"/>
    </xf>
    <xf numFmtId="0" fontId="62" fillId="0" borderId="5" xfId="3" applyFont="1" applyBorder="1" applyAlignment="1">
      <alignment horizontal="left" vertical="top" wrapText="1"/>
    </xf>
    <xf numFmtId="0" fontId="62" fillId="0" borderId="0" xfId="3" applyFont="1" applyAlignment="1">
      <alignment horizontal="left" vertical="top" wrapText="1"/>
    </xf>
    <xf numFmtId="0" fontId="62" fillId="0" borderId="13" xfId="3" applyFont="1" applyBorder="1" applyAlignment="1">
      <alignment horizontal="left" vertical="top" wrapText="1"/>
    </xf>
    <xf numFmtId="0" fontId="62" fillId="0" borderId="15" xfId="3" applyFont="1" applyBorder="1" applyAlignment="1">
      <alignment horizontal="left" vertical="top" wrapText="1"/>
    </xf>
    <xf numFmtId="0" fontId="62" fillId="0" borderId="16" xfId="3" applyFont="1" applyBorder="1" applyAlignment="1">
      <alignment horizontal="left" vertical="top" wrapText="1"/>
    </xf>
    <xf numFmtId="0" fontId="62" fillId="0" borderId="17" xfId="3" applyFont="1" applyBorder="1" applyAlignment="1">
      <alignment horizontal="left" vertical="top" wrapText="1"/>
    </xf>
    <xf numFmtId="0" fontId="38" fillId="0" borderId="10" xfId="3" applyFont="1" applyBorder="1" applyAlignment="1">
      <alignment horizontal="left" vertical="top" wrapText="1"/>
    </xf>
    <xf numFmtId="0" fontId="38" fillId="0" borderId="4" xfId="3" applyFont="1" applyBorder="1" applyAlignment="1">
      <alignment horizontal="left" vertical="top" wrapText="1"/>
    </xf>
    <xf numFmtId="0" fontId="38" fillId="0" borderId="11" xfId="3" applyFont="1" applyBorder="1" applyAlignment="1">
      <alignment horizontal="left" vertical="top" wrapText="1"/>
    </xf>
    <xf numFmtId="0" fontId="38" fillId="0" borderId="5" xfId="3" applyFont="1" applyBorder="1" applyAlignment="1">
      <alignment horizontal="left" vertical="top" wrapText="1"/>
    </xf>
    <xf numFmtId="0" fontId="38" fillId="0" borderId="0" xfId="3" applyFont="1" applyAlignment="1">
      <alignment horizontal="left" vertical="top" wrapText="1"/>
    </xf>
    <xf numFmtId="0" fontId="38" fillId="0" borderId="13" xfId="3" applyFont="1" applyBorder="1" applyAlignment="1">
      <alignment horizontal="left" vertical="top" wrapText="1"/>
    </xf>
    <xf numFmtId="0" fontId="38" fillId="0" borderId="15" xfId="3" applyFont="1" applyBorder="1" applyAlignment="1">
      <alignment horizontal="left" vertical="top" wrapText="1"/>
    </xf>
    <xf numFmtId="0" fontId="38" fillId="0" borderId="16" xfId="3" applyFont="1" applyBorder="1" applyAlignment="1">
      <alignment horizontal="left" vertical="top" wrapText="1"/>
    </xf>
    <xf numFmtId="0" fontId="38" fillId="0" borderId="17" xfId="3" applyFont="1" applyBorder="1" applyAlignment="1">
      <alignment horizontal="left" vertical="top" wrapText="1"/>
    </xf>
    <xf numFmtId="0" fontId="8" fillId="0" borderId="2" xfId="3" applyFont="1" applyBorder="1" applyAlignment="1">
      <alignment horizontal="center" vertical="center"/>
    </xf>
    <xf numFmtId="0" fontId="8" fillId="0" borderId="6" xfId="3" applyFont="1" applyBorder="1" applyAlignment="1">
      <alignment horizontal="center" vertical="center"/>
    </xf>
    <xf numFmtId="0" fontId="8" fillId="0" borderId="3" xfId="3" applyFont="1" applyBorder="1" applyAlignment="1">
      <alignment horizontal="center" vertical="center"/>
    </xf>
    <xf numFmtId="0" fontId="69" fillId="0" borderId="0" xfId="3" applyFont="1" applyAlignment="1">
      <alignment horizontal="center" vertical="center"/>
    </xf>
    <xf numFmtId="0" fontId="64" fillId="11" borderId="54" xfId="0" applyFont="1" applyFill="1" applyBorder="1" applyAlignment="1">
      <alignment horizontal="center" vertical="center"/>
    </xf>
    <xf numFmtId="0" fontId="64" fillId="11" borderId="55" xfId="0" applyFont="1" applyFill="1" applyBorder="1" applyAlignment="1">
      <alignment horizontal="center" vertical="center"/>
    </xf>
    <xf numFmtId="0" fontId="64" fillId="11" borderId="56" xfId="0" applyFont="1" applyFill="1" applyBorder="1" applyAlignment="1">
      <alignment horizontal="center" vertical="center"/>
    </xf>
    <xf numFmtId="0" fontId="64" fillId="11" borderId="57" xfId="0" applyFont="1" applyFill="1" applyBorder="1" applyAlignment="1">
      <alignment horizontal="center" vertical="center"/>
    </xf>
    <xf numFmtId="0" fontId="64" fillId="11" borderId="58" xfId="0" applyFont="1" applyFill="1" applyBorder="1" applyAlignment="1">
      <alignment horizontal="center" vertical="center"/>
    </xf>
    <xf numFmtId="0" fontId="64" fillId="11" borderId="59" xfId="0" applyFont="1" applyFill="1" applyBorder="1" applyAlignment="1">
      <alignment horizontal="center" vertical="center"/>
    </xf>
    <xf numFmtId="0" fontId="66" fillId="14" borderId="10" xfId="0" applyFont="1" applyFill="1" applyBorder="1" applyAlignment="1">
      <alignment horizontal="center" vertical="center"/>
    </xf>
    <xf numFmtId="0" fontId="66" fillId="14" borderId="11" xfId="0" applyFont="1" applyFill="1" applyBorder="1" applyAlignment="1">
      <alignment horizontal="center" vertical="center"/>
    </xf>
    <xf numFmtId="0" fontId="66" fillId="14" borderId="15" xfId="0" applyFont="1" applyFill="1" applyBorder="1" applyAlignment="1">
      <alignment horizontal="center" vertical="center"/>
    </xf>
    <xf numFmtId="0" fontId="66" fillId="14" borderId="17" xfId="0" applyFont="1" applyFill="1" applyBorder="1" applyAlignment="1">
      <alignment horizontal="center" vertical="center"/>
    </xf>
    <xf numFmtId="0" fontId="9" fillId="0" borderId="29" xfId="0" applyFont="1" applyBorder="1" applyAlignment="1">
      <alignment horizontal="center" wrapText="1"/>
    </xf>
    <xf numFmtId="0" fontId="9" fillId="0" borderId="27" xfId="0" applyFont="1" applyBorder="1" applyAlignment="1">
      <alignment horizontal="center" wrapText="1"/>
    </xf>
    <xf numFmtId="0" fontId="9" fillId="0" borderId="28" xfId="0" applyFont="1" applyBorder="1" applyAlignment="1">
      <alignment horizontal="center" wrapText="1"/>
    </xf>
    <xf numFmtId="0" fontId="53" fillId="0" borderId="0" xfId="0" applyFont="1" applyAlignment="1">
      <alignment horizontal="justify" wrapText="1"/>
    </xf>
    <xf numFmtId="0" fontId="50" fillId="0" borderId="0" xfId="0" applyFont="1" applyAlignment="1">
      <alignment horizontal="center" wrapText="1"/>
    </xf>
    <xf numFmtId="0" fontId="6" fillId="0" borderId="0" xfId="0" applyFont="1" applyAlignment="1">
      <alignment horizontal="center"/>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xf numFmtId="0" fontId="6" fillId="0" borderId="10" xfId="0" applyFont="1" applyBorder="1" applyAlignment="1">
      <alignment horizontal="center"/>
    </xf>
    <xf numFmtId="0" fontId="6" fillId="0" borderId="11" xfId="0" applyFont="1" applyBorder="1" applyAlignment="1">
      <alignment horizontal="center"/>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2" xfId="0" applyFont="1" applyBorder="1" applyAlignment="1">
      <alignment horizontal="center" wrapText="1"/>
    </xf>
    <xf numFmtId="0" fontId="6" fillId="0" borderId="18" xfId="0" applyFont="1" applyBorder="1" applyAlignment="1">
      <alignment horizontal="center" wrapText="1"/>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xf numFmtId="0" fontId="6" fillId="0" borderId="3" xfId="0" applyFont="1" applyBorder="1"/>
    <xf numFmtId="0" fontId="6" fillId="0" borderId="6" xfId="0" applyFont="1" applyBorder="1" applyAlignment="1">
      <alignment horizontal="center"/>
    </xf>
    <xf numFmtId="0" fontId="6" fillId="0" borderId="3" xfId="0" applyFont="1" applyBorder="1" applyAlignment="1">
      <alignment horizontal="center"/>
    </xf>
    <xf numFmtId="0" fontId="52" fillId="0" borderId="0" xfId="0" applyFont="1" applyAlignment="1">
      <alignment horizontal="center"/>
    </xf>
    <xf numFmtId="0" fontId="58" fillId="0" borderId="89" xfId="0" applyFont="1" applyBorder="1" applyAlignment="1">
      <alignment vertical="center"/>
    </xf>
    <xf numFmtId="0" fontId="58" fillId="0" borderId="90" xfId="0" applyFont="1" applyBorder="1" applyAlignment="1">
      <alignment vertical="center"/>
    </xf>
    <xf numFmtId="0" fontId="70" fillId="13" borderId="0" xfId="3" applyFont="1" applyFill="1" applyAlignment="1">
      <alignment vertical="center"/>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8" Target="worksheets/sheet8.xml" Type="http://schemas.openxmlformats.org/officeDocument/2006/relationships/worksheet"/><Relationship Id="rId3" Target="worksheets/sheet3.xml" Type="http://schemas.openxmlformats.org/officeDocument/2006/relationships/worksheet"/><Relationship Id="rId7" Target="worksheets/sheet7.xml" Type="http://schemas.openxmlformats.org/officeDocument/2006/relationships/worksheet"/><Relationship Id="rId12" Target="sharedStrings.xml" Type="http://schemas.openxmlformats.org/officeDocument/2006/relationships/sharedStrings"/><Relationship Id="rId2" Target="worksheets/sheet2.xml" Type="http://schemas.openxmlformats.org/officeDocument/2006/relationships/worksheet"/><Relationship Id="rId1" Target="worksheets/sheet1.xml" Type="http://schemas.openxmlformats.org/officeDocument/2006/relationships/worksheet"/><Relationship Id="rId6" Target="worksheets/sheet6.xml" Type="http://schemas.openxmlformats.org/officeDocument/2006/relationships/worksheet"/><Relationship Id="rId11" Target="styles.xml" Type="http://schemas.openxmlformats.org/officeDocument/2006/relationships/styles"/><Relationship Id="rId5" Target="worksheets/sheet5.xml" Type="http://schemas.openxmlformats.org/officeDocument/2006/relationships/worksheet"/><Relationship Id="rId10" Target="theme/theme1.xml" Type="http://schemas.openxmlformats.org/officeDocument/2006/relationships/theme"/><Relationship Id="rId4" Target="worksheets/sheet4.xml" Type="http://schemas.openxmlformats.org/officeDocument/2006/relationships/worksheet"/><Relationship Id="rId9" Target="worksheets/sheet9.xml" Type="http://schemas.openxmlformats.org/officeDocument/2006/relationships/worksheet"/></Relationships>
</file>

<file path=xl/activeX/_rels/activeX1.xml.rels><?xml version="1.0" encoding="UTF-8"?><Relationships xmlns="http://schemas.openxmlformats.org/package/2006/relationships"><Relationship Id="rId1" Target="activeX1.bin" Type="http://schemas.microsoft.com/office/2006/relationships/activeXControlBinary"/></Relationships>
</file>

<file path=xl/activeX/_rels/activeX2.xml.rels><?xml version="1.0" encoding="UTF-8"?><Relationships xmlns="http://schemas.openxmlformats.org/package/2006/relationships"><Relationship Id="rId1" Target="activeX2.bin" Type="http://schemas.microsoft.com/office/2006/relationships/activeXControlBinary"/></Relationships>
</file>

<file path=xl/activeX/_rels/activeX3.xml.rels><?xml version="1.0" encoding="UTF-8"?><Relationships xmlns="http://schemas.openxmlformats.org/package/2006/relationships"><Relationship Id="rId1" Target="activeX3.bin" Type="http://schemas.microsoft.com/office/2006/relationships/activeXControlBinary"/></Relationships>
</file>

<file path=xl/activeX/_rels/activeX4.xml.rels><?xml version="1.0" encoding="UTF-8"?><Relationships xmlns="http://schemas.openxmlformats.org/package/2006/relationships"><Relationship Id="rId1" Target="activeX4.bin" Type="http://schemas.microsoft.com/office/2006/relationships/activeXControlBinary"/></Relationships>
</file>

<file path=xl/activeX/_rels/activeX5.xml.rels><?xml version="1.0" encoding="UTF-8"?><Relationships xmlns="http://schemas.openxmlformats.org/package/2006/relationships"><Relationship Id="rId1" Target="activeX5.bin" Type="http://schemas.microsoft.com/office/2006/relationships/activeXControlBinary"/></Relationships>
</file>

<file path=xl/activeX/_rels/activeX6.xml.rels><?xml version="1.0" encoding="UTF-8"?><Relationships xmlns="http://schemas.openxmlformats.org/package/2006/relationships"><Relationship Id="rId1" Target="activeX6.bin" Type="http://schemas.microsoft.com/office/2006/relationships/activeXControlBinary"/></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FICHA'!$J$483:$J$497</c:f>
            </c:numRef>
          </c:xVal>
          <c:yVal>
            <c:numRef>
              <c:f>'A-D.- FICHA'!$L$483:$L$497</c:f>
            </c:numRef>
          </c:yVal>
          <c:smooth val="0"/>
          <c:extLst>
            <c:ext xmlns:c16="http://schemas.microsoft.com/office/drawing/2014/chart" uri="{C3380CC4-5D6E-409C-BE32-E72D297353CC}">
              <c16:uniqueId val="{00000000-5B00-4CB4-9378-9D04EA112172}"/>
            </c:ext>
          </c:extLst>
        </c:ser>
        <c:ser>
          <c:idx val="1"/>
          <c:order val="1"/>
          <c:tx>
            <c:v>Perfil eje</c:v>
          </c:tx>
          <c:xVal>
            <c:numRef>
              <c:f>'A-D.- FICHA'!$C$462:$C$476</c:f>
            </c:numRef>
          </c:xVal>
          <c:yVal>
            <c:numRef>
              <c:f>'A-D.- FICHA'!$N$462:$N$476</c:f>
            </c:numRef>
          </c:yVal>
          <c:smooth val="0"/>
          <c:extLst>
            <c:ext xmlns:c16="http://schemas.microsoft.com/office/drawing/2014/chart" uri="{C3380CC4-5D6E-409C-BE32-E72D297353CC}">
              <c16:uniqueId val="{00000000-9299-4957-832C-B56C4BE3DB04}"/>
            </c:ext>
          </c:extLst>
        </c:ser>
        <c:ser>
          <c:idx val="2"/>
          <c:order val="2"/>
          <c:tx>
            <c:v>Perfil A.Abajo</c:v>
          </c:tx>
          <c:xVal>
            <c:numRef>
              <c:f>'A-D.- FICHA'!$G$483:$G$497</c:f>
            </c:numRef>
          </c:xVal>
          <c:yVal>
            <c:numRef>
              <c:f>'A-D.- FICHA'!$H$483:$H$497</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GBox" noThreeD="1"/>
</file>

<file path=xl/drawings/_rels/drawing1.xml.rels><?xml version="1.0" encoding="UTF-8"?><Relationships xmlns="http://schemas.openxmlformats.org/package/2006/relationships"><Relationship Id="rId3" Target="../media/image2.png" Type="http://schemas.openxmlformats.org/officeDocument/2006/relationships/image"/><Relationship Id="rId2" Target="../media/image1.jpeg" Type="http://schemas.openxmlformats.org/officeDocument/2006/relationships/image"/><Relationship Id="rId1" Target="../charts/chart1.xml" Type="http://schemas.openxmlformats.org/officeDocument/2006/relationships/chart"/></Relationships>
</file>

<file path=xl/drawings/_rels/drawing2.xml.rels><?xml version="1.0" encoding="UTF-8"?><Relationships xmlns="http://schemas.openxmlformats.org/package/2006/relationships"><Relationship Id="rId5" Target="../media/image1.jpeg" Type="http://schemas.openxmlformats.org/officeDocument/2006/relationships/image"/><Relationship Id="rId4" Target="../media/image2.png" Type="http://schemas.openxmlformats.org/officeDocument/2006/relationships/image"/><Relationship Id="scapImage1" Target="../media/scap_2_1.jpg" Type="http://schemas.openxmlformats.org/officeDocument/2006/relationships/image"/><Relationship Id="scapImage2" Target="../media/scap_2_2.jpg" Type="http://schemas.openxmlformats.org/officeDocument/2006/relationships/image"/><Relationship Id="scapImage3" Target="../media/scap_2_3.jpg" Type="http://schemas.openxmlformats.org/officeDocument/2006/relationships/image"/></Relationships>
</file>

<file path=xl/drawings/_rels/drawing3.xml.rels><?xml version="1.0" encoding="UTF-8"?><Relationships xmlns="http://schemas.openxmlformats.org/package/2006/relationships"><Relationship Id="rId2" Target="../media/image1.jpeg" Type="http://schemas.openxmlformats.org/officeDocument/2006/relationships/image"/><Relationship Id="rId1" Target="../media/image2.png" Type="http://schemas.openxmlformats.org/officeDocument/2006/relationships/image"/></Relationships>
</file>

<file path=xl/drawings/_rels/drawing4.xml.rels><?xml version="1.0" encoding="UTF-8"?><Relationships xmlns="http://schemas.openxmlformats.org/package/2006/relationships"><Relationship Id="rId34" Target="../media/image1.jpeg" Type="http://schemas.openxmlformats.org/officeDocument/2006/relationships/image"/><Relationship Id="rId33" Target="../media/image2.png" Type="http://schemas.openxmlformats.org/officeDocument/2006/relationships/image"/><Relationship Id="scapImage1" Target="../media/scap_4_1.jpg" Type="http://schemas.openxmlformats.org/officeDocument/2006/relationships/image"/></Relationships>
</file>

<file path=xl/drawings/_rels/drawing5.xml.rels><?xml version="1.0" encoding="UTF-8"?><Relationships xmlns="http://schemas.openxmlformats.org/package/2006/relationships"><Relationship Id="rId2" Target="../media/image1.jpeg" Type="http://schemas.openxmlformats.org/officeDocument/2006/relationships/image"/><Relationship Id="rId1" Target="../media/image2.png" Type="http://schemas.openxmlformats.org/officeDocument/2006/relationships/image"/></Relationships>
</file>

<file path=xl/drawings/_rels/drawing6.xml.rels><?xml version="1.0" encoding="UTF-8"?><Relationships xmlns="http://schemas.openxmlformats.org/package/2006/relationships"><Relationship Id="rId2" Target="../media/image1.jpeg" Type="http://schemas.openxmlformats.org/officeDocument/2006/relationships/image"/><Relationship Id="rId1" Target="../media/image2.png" Type="http://schemas.openxmlformats.org/officeDocument/2006/relationships/image"/></Relationships>
</file>

<file path=xl/drawings/_rels/drawing8.xml.rels><?xml version="1.0" encoding="UTF-8"?><Relationships xmlns="http://schemas.openxmlformats.org/package/2006/relationships"><Relationship Id="rId2" Target="file:///C:\Users\Ronald\Desktop\CASMA%20SCAP\imagenes\3.jpg" TargetMode="External" Type="http://schemas.openxmlformats.org/officeDocument/2006/relationships/image"/><Relationship Id="rId1" Target="../media/image45.jpeg" Type="http://schemas.openxmlformats.org/officeDocument/2006/relationships/image"/></Relationships>
</file>

<file path=xl/drawings/_rels/vmlDrawing2.vml.rels><?xml version="1.0" encoding="UTF-8"?><Relationships xmlns="http://schemas.openxmlformats.org/package/2006/relationships"><Relationship Id="rId3" Target="../media/image40.emf" Type="http://schemas.openxmlformats.org/officeDocument/2006/relationships/image"/><Relationship Id="rId2" Target="../media/image39.emf" Type="http://schemas.openxmlformats.org/officeDocument/2006/relationships/image"/><Relationship Id="rId1" Target="../media/image38.emf" Type="http://schemas.openxmlformats.org/officeDocument/2006/relationships/image"/><Relationship Id="rId6" Target="../media/image43.emf" Type="http://schemas.openxmlformats.org/officeDocument/2006/relationships/image"/><Relationship Id="rId5" Target="../media/image42.emf" Type="http://schemas.openxmlformats.org/officeDocument/2006/relationships/image"/><Relationship Id="rId4" Target="../media/image41.emf" Type="http://schemas.openxmlformats.org/officeDocument/2006/relationships/image"/></Relationships>
</file>

<file path=xl/drawings/_rels/vmlDrawing3.vml.rels><?xml version="1.0" encoding="UTF-8"?><Relationships xmlns="http://schemas.openxmlformats.org/package/2006/relationships"><Relationship Id="rId1" Target="../media/image44.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4</xdr:col>
      <xdr:colOff>0</xdr:colOff>
      <xdr:row>451</xdr:row>
      <xdr:rowOff>0</xdr:rowOff>
    </xdr:from>
    <xdr:to>
      <xdr:col>11</xdr:col>
      <xdr:colOff>704850</xdr:colOff>
      <xdr:row>455</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xdr:colOff>
      <xdr:row>0</xdr:row>
      <xdr:rowOff>152401</xdr:rowOff>
    </xdr:from>
    <xdr:to>
      <xdr:col>17</xdr:col>
      <xdr:colOff>885825</xdr:colOff>
      <xdr:row>2</xdr:row>
      <xdr:rowOff>235121</xdr:rowOff>
    </xdr:to>
    <xdr:pic>
      <xdr:nvPicPr>
        <xdr:cNvPr id="4" name="Imagen 3">
          <a:extLst>
            <a:ext uri="{FF2B5EF4-FFF2-40B4-BE49-F238E27FC236}">
              <a16:creationId xmlns:a16="http://schemas.microsoft.com/office/drawing/2014/main" id="{0D7BB96D-75E6-4118-9F0D-D34AC688A3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5625" y="152401"/>
          <a:ext cx="2990850" cy="501820"/>
        </a:xfrm>
        <a:prstGeom prst="rect">
          <a:avLst/>
        </a:prstGeom>
        <a:noFill/>
        <a:ln>
          <a:noFill/>
        </a:ln>
      </xdr:spPr>
    </xdr:pic>
    <xdr:clientData/>
  </xdr:twoCellAnchor>
  <xdr:twoCellAnchor editAs="oneCell">
    <xdr:from>
      <xdr:col>2</xdr:col>
      <xdr:colOff>180976</xdr:colOff>
      <xdr:row>0</xdr:row>
      <xdr:rowOff>76200</xdr:rowOff>
    </xdr:from>
    <xdr:to>
      <xdr:col>4</xdr:col>
      <xdr:colOff>666751</xdr:colOff>
      <xdr:row>2</xdr:row>
      <xdr:rowOff>266700</xdr:rowOff>
    </xdr:to>
    <xdr:pic>
      <xdr:nvPicPr>
        <xdr:cNvPr id="5" name="image2.png">
          <a:extLst>
            <a:ext uri="{FF2B5EF4-FFF2-40B4-BE49-F238E27FC236}">
              <a16:creationId xmlns:a16="http://schemas.microsoft.com/office/drawing/2014/main" id="{36333AFE-6A78-4A7A-A7F9-917F71547C50}"/>
            </a:ext>
          </a:extLst>
        </xdr:cNvPr>
        <xdr:cNvPicPr/>
      </xdr:nvPicPr>
      <xdr:blipFill>
        <a:blip xmlns:r="http://schemas.openxmlformats.org/officeDocument/2006/relationships" r:embed="rId3"/>
        <a:srcRect r="74851" b="-1731"/>
        <a:stretch>
          <a:fillRect/>
        </a:stretch>
      </xdr:blipFill>
      <xdr:spPr>
        <a:xfrm>
          <a:off x="476251" y="76200"/>
          <a:ext cx="1981200" cy="60960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827454</xdr:colOff>
      <xdr:row>27</xdr:row>
      <xdr:rowOff>47625</xdr:rowOff>
    </xdr:from>
    <xdr:ext cx="3571875" cy="2381250"/>
    <xdr:pic>
      <xdr:nvPicPr>
        <xdr:cNvPr descr="PLAN" id="3" name="scap_2_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scapImage2">
          <a:extLst>
            <a:ext uri="{28A0092B-C50C-407E-A947-70E740481C1C}">
              <a14:useLocalDpi xmlns:a14="http://schemas.microsoft.com/office/drawing/2010/main" val="0"/>
            </a:ext>
          </a:extLst>
        </a:blip>
        <a:stretch/>
      </xdr:blipFill>
      <xdr:spPr>
        <a:xfrm>
          <a:off x="827454" y="4657725"/>
          <a:ext cx="3571875" cy="2381250"/>
        </a:xfrm>
        <a:prstGeom prst="rect">
          <a:avLst/>
        </a:prstGeom>
      </xdr:spPr>
    </xdr:pic>
    <xdr:clientData/>
  </xdr:oneCellAnchor>
  <xdr:oneCellAnchor>
    <xdr:from>
      <xdr:col>1</xdr:col>
      <xdr:colOff>947313</xdr:colOff>
      <xdr:row>13</xdr:row>
      <xdr:rowOff>34925</xdr:rowOff>
    </xdr:from>
    <xdr:ext cx="3281362" cy="2187575"/>
    <xdr:pic>
      <xdr:nvPicPr>
        <xdr:cNvPr descr="ELEVATION" id="5" name="scap_2_1.jpg">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scapImage1">
          <a:extLst>
            <a:ext uri="{28A0092B-C50C-407E-A947-70E740481C1C}">
              <a14:useLocalDpi xmlns:a14="http://schemas.microsoft.com/office/drawing/2010/main" val="0"/>
            </a:ext>
          </a:extLst>
        </a:blip>
        <a:stretch/>
      </xdr:blipFill>
      <xdr:spPr>
        <a:xfrm>
          <a:off x="1137813" y="2551113"/>
          <a:ext cx="3281362" cy="2187575"/>
        </a:xfrm>
        <a:prstGeom prst="rect">
          <a:avLst/>
        </a:prstGeom>
      </xdr:spPr>
    </xdr:pic>
    <xdr:clientData/>
  </xdr:oneCellAnchor>
  <xdr:oneCellAnchor>
    <xdr:from>
      <xdr:col>1</xdr:col>
      <xdr:colOff>571500</xdr:colOff>
      <xdr:row>42</xdr:row>
      <xdr:rowOff>59791</xdr:rowOff>
    </xdr:from>
    <xdr:ext cx="3550172" cy="2366781"/>
    <xdr:pic>
      <xdr:nvPicPr>
        <xdr:cNvPr descr="CROSS_SECTION" id="11" name="scap_2_3.jp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scapImage3">
          <a:extLst>
            <a:ext uri="{28A0092B-C50C-407E-A947-70E740481C1C}">
              <a14:useLocalDpi xmlns:a14="http://schemas.microsoft.com/office/drawing/2010/main" val="0"/>
            </a:ext>
          </a:extLst>
        </a:blip>
        <a:stretch>
          <a:fillRect/>
        </a:stretch>
      </xdr:blipFill>
      <xdr:spPr>
        <a:xfrm>
          <a:off x="762000" y="7727416"/>
          <a:ext cx="3550172" cy="2366781"/>
        </a:xfrm>
        <a:prstGeom prst="rect">
          <a:avLst/>
        </a:prstGeom>
      </xdr:spPr>
    </xdr:pic>
    <xdr:clientData/>
  </xdr:oneCellAnchor>
  <xdr:twoCellAnchor editAs="oneCell">
    <xdr:from>
      <xdr:col>0</xdr:col>
      <xdr:colOff>88323</xdr:colOff>
      <xdr:row>1</xdr:row>
      <xdr:rowOff>90054</xdr:rowOff>
    </xdr:from>
    <xdr:to>
      <xdr:col>2</xdr:col>
      <xdr:colOff>528204</xdr:colOff>
      <xdr:row>3</xdr:row>
      <xdr:rowOff>121228</xdr:rowOff>
    </xdr:to>
    <xdr:pic>
      <xdr:nvPicPr>
        <xdr:cNvPr id="6" name="image2.png">
          <a:extLst>
            <a:ext uri="{FF2B5EF4-FFF2-40B4-BE49-F238E27FC236}">
              <a16:creationId xmlns:a16="http://schemas.microsoft.com/office/drawing/2014/main" id="{945ED16E-50B5-4D53-9A33-CEF16E3D38A7}"/>
            </a:ext>
          </a:extLst>
        </xdr:cNvPr>
        <xdr:cNvPicPr/>
      </xdr:nvPicPr>
      <xdr:blipFill>
        <a:blip xmlns:r="http://schemas.openxmlformats.org/officeDocument/2006/relationships" r:embed="rId4"/>
        <a:srcRect b="-1731" r="74851"/>
        <a:stretch>
          <a:fillRect/>
        </a:stretch>
      </xdr:blipFill>
      <xdr:spPr>
        <a:xfrm>
          <a:off x="88323" y="289213"/>
          <a:ext cx="1357745" cy="412174"/>
        </a:xfrm>
        <a:prstGeom prst="rect">
          <a:avLst/>
        </a:prstGeom>
        <a:ln/>
      </xdr:spPr>
    </xdr:pic>
    <xdr:clientData/>
  </xdr:twoCellAnchor>
  <xdr:twoCellAnchor editAs="oneCell">
    <xdr:from>
      <xdr:col>8</xdr:col>
      <xdr:colOff>71439</xdr:colOff>
      <xdr:row>1</xdr:row>
      <xdr:rowOff>111126</xdr:rowOff>
    </xdr:from>
    <xdr:to>
      <xdr:col>10</xdr:col>
      <xdr:colOff>676265</xdr:colOff>
      <xdr:row>3</xdr:row>
      <xdr:rowOff>87312</xdr:rowOff>
    </xdr:to>
    <xdr:pic>
      <xdr:nvPicPr>
        <xdr:cNvPr id="7" name="Imagen 6">
          <a:extLst>
            <a:ext uri="{FF2B5EF4-FFF2-40B4-BE49-F238E27FC236}">
              <a16:creationId xmlns:a16="http://schemas.microsoft.com/office/drawing/2014/main" id="{9D5AC016-6C52-4647-A399-82FED89B038E}"/>
            </a:ext>
          </a:extLst>
        </xdr:cNvPr>
        <xdr:cNvPicPr>
          <a:picLocks noChangeAspect="1"/>
        </xdr:cNvPicPr>
      </xdr:nvPicPr>
      <xdr:blipFill>
        <a:blip xmlns:r="http://schemas.openxmlformats.org/officeDocument/2006/relationships" cstate="print" r:embed="rId5">
          <a:extLst>
            <a:ext uri="{28A0092B-C50C-407E-A947-70E740481C1C}">
              <a14:useLocalDpi xmlns:a14="http://schemas.microsoft.com/office/drawing/2010/main" val="0"/>
            </a:ext>
          </a:extLst>
        </a:blip>
        <a:srcRect/>
        <a:stretch>
          <a:fillRect/>
        </a:stretch>
      </xdr:blipFill>
      <xdr:spPr bwMode="auto">
        <a:xfrm>
          <a:off x="4984752" y="309564"/>
          <a:ext cx="2128826" cy="35718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152399</xdr:rowOff>
    </xdr:from>
    <xdr:to>
      <xdr:col>3</xdr:col>
      <xdr:colOff>247650</xdr:colOff>
      <xdr:row>2</xdr:row>
      <xdr:rowOff>219074</xdr:rowOff>
    </xdr:to>
    <xdr:pic>
      <xdr:nvPicPr>
        <xdr:cNvPr id="4" name="image2.png">
          <a:extLst>
            <a:ext uri="{FF2B5EF4-FFF2-40B4-BE49-F238E27FC236}">
              <a16:creationId xmlns:a16="http://schemas.microsoft.com/office/drawing/2014/main" id="{3588FC80-2BB1-4E49-9F5E-5438F7475221}"/>
            </a:ext>
          </a:extLst>
        </xdr:cNvPr>
        <xdr:cNvPicPr/>
      </xdr:nvPicPr>
      <xdr:blipFill>
        <a:blip xmlns:r="http://schemas.openxmlformats.org/officeDocument/2006/relationships" r:embed="rId1"/>
        <a:srcRect r="74851" b="-1731"/>
        <a:stretch>
          <a:fillRect/>
        </a:stretch>
      </xdr:blipFill>
      <xdr:spPr>
        <a:xfrm>
          <a:off x="28575" y="152399"/>
          <a:ext cx="1524000" cy="447675"/>
        </a:xfrm>
        <a:prstGeom prst="rect">
          <a:avLst/>
        </a:prstGeom>
        <a:ln/>
      </xdr:spPr>
    </xdr:pic>
    <xdr:clientData/>
  </xdr:twoCellAnchor>
  <xdr:twoCellAnchor editAs="oneCell">
    <xdr:from>
      <xdr:col>8</xdr:col>
      <xdr:colOff>38100</xdr:colOff>
      <xdr:row>0</xdr:row>
      <xdr:rowOff>104775</xdr:rowOff>
    </xdr:from>
    <xdr:to>
      <xdr:col>11</xdr:col>
      <xdr:colOff>171450</xdr:colOff>
      <xdr:row>2</xdr:row>
      <xdr:rowOff>68977</xdr:rowOff>
    </xdr:to>
    <xdr:pic>
      <xdr:nvPicPr>
        <xdr:cNvPr id="5" name="Imagen 4">
          <a:extLst>
            <a:ext uri="{FF2B5EF4-FFF2-40B4-BE49-F238E27FC236}">
              <a16:creationId xmlns:a16="http://schemas.microsoft.com/office/drawing/2014/main" id="{8C820822-D995-4E34-9A27-BE67155BDD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67275" y="104775"/>
          <a:ext cx="2057400" cy="34520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550291</xdr:colOff>
      <xdr:row>10</xdr:row>
      <xdr:rowOff>143595</xdr:rowOff>
    </xdr:from>
    <xdr:ext cx="2210093" cy="1473395"/>
    <xdr:pic>
      <xdr:nvPicPr>
        <xdr:cNvPr descr="Vista general: Fotografia sintetica limpia" id="3" name="scap_4_1.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cstate="print" r:embed="scapImage1">
          <a:extLst>
            <a:ext uri="{28A0092B-C50C-407E-A947-70E740481C1C}">
              <a14:useLocalDpi xmlns:a14="http://schemas.microsoft.com/office/drawing/2010/main" val="0"/>
            </a:ext>
          </a:extLst>
        </a:blip>
        <a:stretch/>
      </xdr:blipFill>
      <xdr:spPr>
        <a:xfrm>
          <a:off x="6579616" y="2905845"/>
          <a:ext cx="2210093" cy="1473395"/>
        </a:xfrm>
        <a:prstGeom prst="rect">
          <a:avLst/>
        </a:prstGeom>
      </xdr:spPr>
    </xdr:pic>
    <xdr:clientData/>
  </xdr:oneCellAnchor>
  <xdr:twoCellAnchor editAs="oneCell">
    <xdr:from>
      <xdr:col>1</xdr:col>
      <xdr:colOff>85725</xdr:colOff>
      <xdr:row>0</xdr:row>
      <xdr:rowOff>114301</xdr:rowOff>
    </xdr:from>
    <xdr:to>
      <xdr:col>2</xdr:col>
      <xdr:colOff>723900</xdr:colOff>
      <xdr:row>0</xdr:row>
      <xdr:rowOff>552451</xdr:rowOff>
    </xdr:to>
    <xdr:pic>
      <xdr:nvPicPr>
        <xdr:cNvPr id="36" name="image2.png">
          <a:extLst>
            <a:ext uri="{FF2B5EF4-FFF2-40B4-BE49-F238E27FC236}">
              <a16:creationId xmlns:a16="http://schemas.microsoft.com/office/drawing/2014/main" id="{A9131F8B-377B-49C1-A2CA-EFAB6C454D35}"/>
            </a:ext>
          </a:extLst>
        </xdr:cNvPr>
        <xdr:cNvPicPr/>
      </xdr:nvPicPr>
      <xdr:blipFill>
        <a:blip xmlns:r="http://schemas.openxmlformats.org/officeDocument/2006/relationships" r:embed="rId33"/>
        <a:srcRect b="-1731" r="74851"/>
        <a:stretch>
          <a:fillRect/>
        </a:stretch>
      </xdr:blipFill>
      <xdr:spPr>
        <a:xfrm>
          <a:off x="571500" y="114301"/>
          <a:ext cx="1352550" cy="438150"/>
        </a:xfrm>
        <a:prstGeom prst="rect">
          <a:avLst/>
        </a:prstGeom>
        <a:ln/>
      </xdr:spPr>
    </xdr:pic>
    <xdr:clientData/>
  </xdr:twoCellAnchor>
  <xdr:twoCellAnchor editAs="oneCell">
    <xdr:from>
      <xdr:col>4</xdr:col>
      <xdr:colOff>152399</xdr:colOff>
      <xdr:row>0</xdr:row>
      <xdr:rowOff>123824</xdr:rowOff>
    </xdr:from>
    <xdr:to>
      <xdr:col>5</xdr:col>
      <xdr:colOff>133349</xdr:colOff>
      <xdr:row>0</xdr:row>
      <xdr:rowOff>643225</xdr:rowOff>
    </xdr:to>
    <xdr:pic>
      <xdr:nvPicPr>
        <xdr:cNvPr id="37" name="Imagen 36">
          <a:extLst>
            <a:ext uri="{FF2B5EF4-FFF2-40B4-BE49-F238E27FC236}">
              <a16:creationId xmlns:a16="http://schemas.microsoft.com/office/drawing/2014/main" id="{EB64DF46-8B13-474E-8D81-CDA6B835C15A}"/>
            </a:ext>
          </a:extLst>
        </xdr:cNvPr>
        <xdr:cNvPicPr>
          <a:picLocks noChangeAspect="1"/>
        </xdr:cNvPicPr>
      </xdr:nvPicPr>
      <xdr:blipFill>
        <a:blip xmlns:r="http://schemas.openxmlformats.org/officeDocument/2006/relationships" cstate="print" r:embed="rId34">
          <a:extLst>
            <a:ext uri="{28A0092B-C50C-407E-A947-70E740481C1C}">
              <a14:useLocalDpi xmlns:a14="http://schemas.microsoft.com/office/drawing/2010/main" val="0"/>
            </a:ext>
          </a:extLst>
        </a:blip>
        <a:srcRect/>
        <a:stretch>
          <a:fillRect/>
        </a:stretch>
      </xdr:blipFill>
      <xdr:spPr bwMode="auto">
        <a:xfrm>
          <a:off x="6181724" y="123824"/>
          <a:ext cx="3095625" cy="51940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95250</xdr:rowOff>
    </xdr:from>
    <xdr:to>
      <xdr:col>1</xdr:col>
      <xdr:colOff>942975</xdr:colOff>
      <xdr:row>0</xdr:row>
      <xdr:rowOff>533400</xdr:rowOff>
    </xdr:to>
    <xdr:pic>
      <xdr:nvPicPr>
        <xdr:cNvPr id="4" name="image2.png">
          <a:extLst>
            <a:ext uri="{FF2B5EF4-FFF2-40B4-BE49-F238E27FC236}">
              <a16:creationId xmlns:a16="http://schemas.microsoft.com/office/drawing/2014/main" id="{E300BC5D-C625-4B84-9659-BA74AB55C475}"/>
            </a:ext>
          </a:extLst>
        </xdr:cNvPr>
        <xdr:cNvPicPr/>
      </xdr:nvPicPr>
      <xdr:blipFill>
        <a:blip xmlns:r="http://schemas.openxmlformats.org/officeDocument/2006/relationships" r:embed="rId1"/>
        <a:srcRect r="74851" b="-1731"/>
        <a:stretch>
          <a:fillRect/>
        </a:stretch>
      </xdr:blipFill>
      <xdr:spPr>
        <a:xfrm>
          <a:off x="38100" y="95250"/>
          <a:ext cx="1352550" cy="438150"/>
        </a:xfrm>
        <a:prstGeom prst="rect">
          <a:avLst/>
        </a:prstGeom>
        <a:ln/>
      </xdr:spPr>
    </xdr:pic>
    <xdr:clientData/>
  </xdr:twoCellAnchor>
  <xdr:twoCellAnchor editAs="oneCell">
    <xdr:from>
      <xdr:col>8</xdr:col>
      <xdr:colOff>457200</xdr:colOff>
      <xdr:row>0</xdr:row>
      <xdr:rowOff>171451</xdr:rowOff>
    </xdr:from>
    <xdr:to>
      <xdr:col>12</xdr:col>
      <xdr:colOff>695325</xdr:colOff>
      <xdr:row>0</xdr:row>
      <xdr:rowOff>534233</xdr:rowOff>
    </xdr:to>
    <xdr:pic>
      <xdr:nvPicPr>
        <xdr:cNvPr id="5" name="Imagen 4">
          <a:extLst>
            <a:ext uri="{FF2B5EF4-FFF2-40B4-BE49-F238E27FC236}">
              <a16:creationId xmlns:a16="http://schemas.microsoft.com/office/drawing/2014/main" id="{B3F34ADC-08D2-44AE-A7E3-52D5C12AD5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24525" y="171451"/>
          <a:ext cx="2162175" cy="36278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2</xdr:col>
      <xdr:colOff>571500</xdr:colOff>
      <xdr:row>2</xdr:row>
      <xdr:rowOff>114300</xdr:rowOff>
    </xdr:to>
    <xdr:pic>
      <xdr:nvPicPr>
        <xdr:cNvPr id="2" name="image2.png">
          <a:extLst>
            <a:ext uri="{FF2B5EF4-FFF2-40B4-BE49-F238E27FC236}">
              <a16:creationId xmlns:a16="http://schemas.microsoft.com/office/drawing/2014/main" id="{8BD7BA45-EA36-4ED1-9650-DDF51BF476D7}"/>
            </a:ext>
          </a:extLst>
        </xdr:cNvPr>
        <xdr:cNvPicPr/>
      </xdr:nvPicPr>
      <xdr:blipFill>
        <a:blip xmlns:r="http://schemas.openxmlformats.org/officeDocument/2006/relationships" r:embed="rId1"/>
        <a:srcRect r="74851" b="-1731"/>
        <a:stretch>
          <a:fillRect/>
        </a:stretch>
      </xdr:blipFill>
      <xdr:spPr>
        <a:xfrm>
          <a:off x="85725" y="95250"/>
          <a:ext cx="1247775" cy="476250"/>
        </a:xfrm>
        <a:prstGeom prst="rect">
          <a:avLst/>
        </a:prstGeom>
        <a:ln/>
      </xdr:spPr>
    </xdr:pic>
    <xdr:clientData/>
  </xdr:twoCellAnchor>
  <xdr:twoCellAnchor editAs="oneCell">
    <xdr:from>
      <xdr:col>6</xdr:col>
      <xdr:colOff>47625</xdr:colOff>
      <xdr:row>0</xdr:row>
      <xdr:rowOff>85724</xdr:rowOff>
    </xdr:from>
    <xdr:to>
      <xdr:col>8</xdr:col>
      <xdr:colOff>793236</xdr:colOff>
      <xdr:row>2</xdr:row>
      <xdr:rowOff>38099</xdr:rowOff>
    </xdr:to>
    <xdr:pic>
      <xdr:nvPicPr>
        <xdr:cNvPr id="5" name="Imagen 4">
          <a:extLst>
            <a:ext uri="{FF2B5EF4-FFF2-40B4-BE49-F238E27FC236}">
              <a16:creationId xmlns:a16="http://schemas.microsoft.com/office/drawing/2014/main" id="{AE95449F-219F-44B4-A3C5-7CA82AFBAC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91225" y="85724"/>
          <a:ext cx="2441061" cy="4095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752475</xdr:colOff>
          <xdr:row>0</xdr:row>
          <xdr:rowOff>57150</xdr:rowOff>
        </xdr:from>
        <xdr:to>
          <xdr:col>10</xdr:col>
          <xdr:colOff>1219200</xdr:colOff>
          <xdr:row>3</xdr:row>
          <xdr:rowOff>485775</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390525</xdr:colOff>
          <xdr:row>0</xdr:row>
          <xdr:rowOff>247650</xdr:rowOff>
        </xdr:from>
        <xdr:to>
          <xdr:col>10</xdr:col>
          <xdr:colOff>1123950</xdr:colOff>
          <xdr:row>2</xdr:row>
          <xdr:rowOff>66675</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0</xdr:row>
          <xdr:rowOff>152400</xdr:rowOff>
        </xdr:from>
        <xdr:to>
          <xdr:col>9</xdr:col>
          <xdr:colOff>171450</xdr:colOff>
          <xdr:row>1</xdr:row>
          <xdr:rowOff>28575</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xdr:row>
          <xdr:rowOff>66675</xdr:rowOff>
        </xdr:from>
        <xdr:to>
          <xdr:col>9</xdr:col>
          <xdr:colOff>238125</xdr:colOff>
          <xdr:row>2</xdr:row>
          <xdr:rowOff>95250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142875</xdr:colOff>
          <xdr:row>2</xdr:row>
          <xdr:rowOff>371475</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371475</xdr:rowOff>
        </xdr:from>
        <xdr:to>
          <xdr:col>9</xdr:col>
          <xdr:colOff>247650</xdr:colOff>
          <xdr:row>3</xdr:row>
          <xdr:rowOff>238125</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219075</xdr:rowOff>
        </xdr:from>
        <xdr:to>
          <xdr:col>9</xdr:col>
          <xdr:colOff>247650</xdr:colOff>
          <xdr:row>3</xdr:row>
          <xdr:rowOff>476250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409575</xdr:colOff>
          <xdr:row>1</xdr:row>
          <xdr:rowOff>66675</xdr:rowOff>
        </xdr:from>
        <xdr:to>
          <xdr:col>8</xdr:col>
          <xdr:colOff>466725</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66</xdr:row>
          <xdr:rowOff>66675</xdr:rowOff>
        </xdr:from>
        <xdr:to>
          <xdr:col>8</xdr:col>
          <xdr:colOff>466725</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514350</xdr:colOff>
          <xdr:row>131</xdr:row>
          <xdr:rowOff>28575</xdr:rowOff>
        </xdr:from>
        <xdr:to>
          <xdr:col>8</xdr:col>
          <xdr:colOff>466725</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261</xdr:row>
          <xdr:rowOff>66675</xdr:rowOff>
        </xdr:from>
        <xdr:to>
          <xdr:col>8</xdr:col>
          <xdr:colOff>466725</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196</xdr:row>
          <xdr:rowOff>66675</xdr:rowOff>
        </xdr:from>
        <xdr:to>
          <xdr:col>8</xdr:col>
          <xdr:colOff>466725</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326</xdr:row>
          <xdr:rowOff>66675</xdr:rowOff>
        </xdr:from>
        <xdr:to>
          <xdr:col>8</xdr:col>
          <xdr:colOff>466725</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Relationships xmlns="http://schemas.openxmlformats.org/package/2006/relationships"><Relationship Id="rId2" Target="../drawings/drawing1.xml" Type="http://schemas.openxmlformats.org/officeDocument/2006/relationships/drawing"/><Relationship Id="rId1" Target="../printerSettings/printerSettings1.bin" Type="http://schemas.openxmlformats.org/officeDocument/2006/relationships/printerSettings"/></Relationships>
</file>

<file path=xl/worksheets/_rels/sheet2.xml.rels><?xml version="1.0" encoding="UTF-8"?><Relationships xmlns="http://schemas.openxmlformats.org/package/2006/relationships"><Relationship Id="rId2" Target="../drawings/drawing2.xml" Type="http://schemas.openxmlformats.org/officeDocument/2006/relationships/drawing"/><Relationship Id="rId1" Target="../printerSettings/printerSettings2.bin" Type="http://schemas.openxmlformats.org/officeDocument/2006/relationships/printerSettings"/></Relationships>
</file>

<file path=xl/worksheets/_rels/sheet3.xml.rels><?xml version="1.0" encoding="UTF-8"?><Relationships xmlns="http://schemas.openxmlformats.org/package/2006/relationships"><Relationship Id="rId2" Target="../drawings/drawing3.xml" Type="http://schemas.openxmlformats.org/officeDocument/2006/relationships/drawing"/><Relationship Id="rId1" Target="../printerSettings/printerSettings3.bin" Type="http://schemas.openxmlformats.org/officeDocument/2006/relationships/printerSettings"/></Relationships>
</file>

<file path=xl/worksheets/_rels/sheet4.xml.rels><?xml version="1.0" encoding="UTF-8"?><Relationships xmlns="http://schemas.openxmlformats.org/package/2006/relationships"><Relationship Id="rId2" Target="../drawings/drawing4.xml" Type="http://schemas.openxmlformats.org/officeDocument/2006/relationships/drawing"/><Relationship Id="rId1" Target="../printerSettings/printerSettings4.bin" Type="http://schemas.openxmlformats.org/officeDocument/2006/relationships/printerSettings"/></Relationships>
</file>

<file path=xl/worksheets/_rels/sheet5.xml.rels><?xml version="1.0" encoding="UTF-8"?><Relationships xmlns="http://schemas.openxmlformats.org/package/2006/relationships"><Relationship Id="rId3" Target="../drawings/vmlDrawing1.vml" Type="http://schemas.openxmlformats.org/officeDocument/2006/relationships/vmlDrawing"/><Relationship Id="rId2" Target="../drawings/drawing5.xml" Type="http://schemas.openxmlformats.org/officeDocument/2006/relationships/drawing"/><Relationship Id="rId1" Target="../printerSettings/printerSettings5.bin" Type="http://schemas.openxmlformats.org/officeDocument/2006/relationships/printerSettings"/><Relationship Id="rId4" Target="../comments1.xml" Type="http://schemas.openxmlformats.org/officeDocument/2006/relationships/comments"/></Relationships>
</file>

<file path=xl/worksheets/_rels/sheet6.xml.rels><?xml version="1.0" encoding="UTF-8"?><Relationships xmlns="http://schemas.openxmlformats.org/package/2006/relationships"><Relationship Id="rId2" Target="../drawings/drawing6.xml" Type="http://schemas.openxmlformats.org/officeDocument/2006/relationships/drawing"/><Relationship Id="rId1" Target="../printerSettings/printerSettings6.bin" Type="http://schemas.openxmlformats.org/officeDocument/2006/relationships/printerSettings"/></Relationships>
</file>

<file path=xl/worksheets/_rels/sheet7.xml.rels><?xml version="1.0" encoding="UTF-8"?><Relationships xmlns="http://schemas.openxmlformats.org/package/2006/relationships"><Relationship Id="rId8" Target="../activeX/activeX3.xml" Type="http://schemas.openxmlformats.org/officeDocument/2006/relationships/control"/><Relationship Id="rId13" Target="../media/image42.emf" Type="http://schemas.openxmlformats.org/officeDocument/2006/relationships/image"/><Relationship Id="rId3" Target="../drawings/vmlDrawing2.vml" Type="http://schemas.openxmlformats.org/officeDocument/2006/relationships/vmlDrawing"/><Relationship Id="rId7" Target="../media/image39.emf" Type="http://schemas.openxmlformats.org/officeDocument/2006/relationships/image"/><Relationship Id="rId12" Target="../activeX/activeX5.xml" Type="http://schemas.openxmlformats.org/officeDocument/2006/relationships/control"/><Relationship Id="rId2" Target="../drawings/drawing7.xml" Type="http://schemas.openxmlformats.org/officeDocument/2006/relationships/drawing"/><Relationship Id="rId16" Target="../ctrlProps/ctrlProp1.xml" Type="http://schemas.openxmlformats.org/officeDocument/2006/relationships/ctrlProp"/><Relationship Id="rId1" Target="../printerSettings/printerSettings7.bin" Type="http://schemas.openxmlformats.org/officeDocument/2006/relationships/printerSettings"/><Relationship Id="rId6" Target="../activeX/activeX2.xml" Type="http://schemas.openxmlformats.org/officeDocument/2006/relationships/control"/><Relationship Id="rId11" Target="../media/image41.emf" Type="http://schemas.openxmlformats.org/officeDocument/2006/relationships/image"/><Relationship Id="rId5" Target="../media/image38.emf" Type="http://schemas.openxmlformats.org/officeDocument/2006/relationships/image"/><Relationship Id="rId15" Target="../media/image43.emf" Type="http://schemas.openxmlformats.org/officeDocument/2006/relationships/image"/><Relationship Id="rId10" Target="../activeX/activeX4.xml" Type="http://schemas.openxmlformats.org/officeDocument/2006/relationships/control"/><Relationship Id="rId4" Target="../activeX/activeX1.xml" Type="http://schemas.openxmlformats.org/officeDocument/2006/relationships/control"/><Relationship Id="rId9" Target="../media/image40.emf" Type="http://schemas.openxmlformats.org/officeDocument/2006/relationships/image"/><Relationship Id="rId14" Target="../activeX/activeX6.xml" Type="http://schemas.openxmlformats.org/officeDocument/2006/relationships/control"/></Relationships>
</file>

<file path=xl/worksheets/_rels/sheet8.xml.rels><?xml version="1.0" encoding="UTF-8"?><Relationships xmlns="http://schemas.openxmlformats.org/package/2006/relationships"><Relationship Id="rId8" Target="../embeddings/oleObject5.bin" Type="http://schemas.openxmlformats.org/officeDocument/2006/relationships/oleObject"/><Relationship Id="rId3" Target="../embeddings/oleObject1.bin" Type="http://schemas.openxmlformats.org/officeDocument/2006/relationships/oleObject"/><Relationship Id="rId7" Target="../embeddings/oleObject4.bin" Type="http://schemas.openxmlformats.org/officeDocument/2006/relationships/oleObject"/><Relationship Id="rId2" Target="../drawings/vmlDrawing3.vml" Type="http://schemas.openxmlformats.org/officeDocument/2006/relationships/vmlDrawing"/><Relationship Id="rId1" Target="../drawings/drawing8.xml" Type="http://schemas.openxmlformats.org/officeDocument/2006/relationships/drawing"/><Relationship Id="rId6" Target="../embeddings/oleObject3.bin" Type="http://schemas.openxmlformats.org/officeDocument/2006/relationships/oleObject"/><Relationship Id="rId5" Target="../embeddings/oleObject2.bin" Type="http://schemas.openxmlformats.org/officeDocument/2006/relationships/oleObject"/><Relationship Id="rId4" Target="../media/image44.wmf" Type="http://schemas.openxmlformats.org/officeDocument/2006/relationships/image"/><Relationship Id="rId9" Target="../embeddings/oleObject6.bin" Type="http://schemas.openxmlformats.org/officeDocument/2006/relationships/oleObjec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1"/>
  <sheetViews>
    <sheetView view="pageBreakPreview" workbookViewId="0" zoomScaleNormal="100" zoomScaleSheetLayoutView="100">
      <selection activeCell="P429" sqref="P429"/>
    </sheetView>
  </sheetViews>
  <sheetFormatPr baseColWidth="10" defaultColWidth="11.5703125" defaultRowHeight="16.5" outlineLevelRow="2" x14ac:dyDescent="0.3"/>
  <cols>
    <col customWidth="1" max="1" min="1" style="1" width="2.7109375"/>
    <col customWidth="1" max="2" min="2" style="1" width="1.7109375"/>
    <col customWidth="1" max="3" min="3" style="1" width="20.7109375"/>
    <col customWidth="1" max="4" min="4" style="1" width="1.7109375"/>
    <col customWidth="1" max="5" min="5" style="1" width="14.7109375"/>
    <col customWidth="1" max="6" min="6" style="1" width="1.7109375"/>
    <col customWidth="1" max="8" min="7" style="1" width="13.7109375"/>
    <col customWidth="1" max="9" min="9" style="1" width="1.7109375"/>
    <col customWidth="1" max="10" min="10" style="1" width="13.7109375"/>
    <col customWidth="1" max="11" min="11" style="1" width="1.7109375"/>
    <col customWidth="1" max="12" min="12" style="1" width="13.28515625"/>
    <col customWidth="1" max="13" min="13" style="1" width="1.7109375"/>
    <col customWidth="1" max="14" min="14" style="1" width="15.140625"/>
    <col customWidth="1" max="15" min="15" style="1" width="1.7109375"/>
    <col customWidth="1" max="16" min="16" style="1" width="13.7109375"/>
    <col customWidth="1" max="17" min="17" style="1" width="1.7109375"/>
    <col customWidth="1" max="18" min="18" style="1" width="15.7109375"/>
    <col customWidth="1" max="19" min="19" style="1" width="6.42578125"/>
    <col max="16384" min="20" style="1" width="11.5703125"/>
  </cols>
  <sheetData>
    <row customHeight="1" ht="16.5" r="1" spans="2:21" x14ac:dyDescent="0.3">
      <c r="C1" s="488"/>
      <c r="D1" s="489"/>
      <c r="E1" s="490"/>
      <c r="F1" s="497" t="s">
        <v>0</v>
      </c>
      <c r="G1" s="498"/>
      <c r="H1" s="498"/>
      <c r="I1" s="498"/>
      <c r="J1" s="498"/>
      <c r="K1" s="498"/>
      <c r="L1" s="498"/>
      <c r="M1" s="499"/>
      <c r="N1" s="489"/>
      <c r="O1" s="489"/>
      <c r="P1" s="489"/>
      <c r="Q1" s="489"/>
      <c r="R1" s="490"/>
      <c r="S1" s="2"/>
      <c r="T1" s="2"/>
    </row>
    <row customHeight="1" ht="16.5" r="2" spans="2:21" x14ac:dyDescent="0.3">
      <c r="C2" s="491"/>
      <c r="D2" s="492"/>
      <c r="E2" s="493"/>
      <c r="F2" s="500"/>
      <c r="G2" s="501"/>
      <c r="H2" s="501"/>
      <c r="I2" s="501"/>
      <c r="J2" s="501"/>
      <c r="K2" s="501"/>
      <c r="L2" s="501"/>
      <c r="M2" s="502"/>
      <c r="N2" s="492"/>
      <c r="O2" s="492"/>
      <c r="P2" s="492"/>
      <c r="Q2" s="492"/>
      <c r="R2" s="493"/>
      <c r="S2" s="2"/>
      <c r="T2" s="2"/>
    </row>
    <row customHeight="1" ht="45.75" r="3" spans="2:21" thickBot="1" x14ac:dyDescent="0.35">
      <c r="C3" s="494"/>
      <c r="D3" s="495"/>
      <c r="E3" s="496"/>
      <c r="F3" s="503"/>
      <c r="G3" s="504"/>
      <c r="H3" s="504"/>
      <c r="I3" s="504"/>
      <c r="J3" s="504"/>
      <c r="K3" s="504"/>
      <c r="L3" s="504"/>
      <c r="M3" s="505"/>
      <c r="N3" s="495"/>
      <c r="O3" s="495"/>
      <c r="P3" s="495"/>
      <c r="Q3" s="495"/>
      <c r="R3" s="496"/>
      <c r="S3" s="2"/>
      <c r="T3" s="2"/>
    </row>
    <row r="4" spans="2:21" x14ac:dyDescent="0.3">
      <c r="C4" s="506" t="s">
        <v>1</v>
      </c>
      <c r="D4" s="507"/>
      <c r="E4" s="507"/>
      <c r="F4" s="507"/>
      <c r="G4" s="507"/>
      <c r="H4" s="507"/>
      <c r="I4" s="507"/>
      <c r="J4" s="507"/>
      <c r="K4" s="507"/>
      <c r="L4" s="507"/>
      <c r="M4" s="507"/>
      <c r="N4" s="507"/>
      <c r="O4" s="507"/>
      <c r="P4" s="507"/>
      <c r="Q4" s="507"/>
      <c r="R4" s="508"/>
      <c r="S4" s="2"/>
      <c r="T4" s="2"/>
    </row>
    <row customHeight="1" ht="21.75" r="5" spans="2:21" thickBot="1" x14ac:dyDescent="0.35">
      <c r="C5" s="509"/>
      <c r="D5" s="510"/>
      <c r="E5" s="510"/>
      <c r="F5" s="510"/>
      <c r="G5" s="510"/>
      <c r="H5" s="510"/>
      <c r="I5" s="510"/>
      <c r="J5" s="510"/>
      <c r="K5" s="510"/>
      <c r="L5" s="510"/>
      <c r="M5" s="510"/>
      <c r="N5" s="510"/>
      <c r="O5" s="510"/>
      <c r="P5" s="510"/>
      <c r="Q5" s="510"/>
      <c r="R5" s="511"/>
      <c r="S5" s="2"/>
      <c r="T5" s="2"/>
    </row>
    <row customHeight="1" ht="16.5" r="6" spans="2:21" thickBot="1" x14ac:dyDescent="0.35">
      <c r="C6" s="3"/>
      <c r="D6" s="3"/>
      <c r="E6" s="3"/>
      <c r="F6" s="3"/>
      <c r="G6" s="3"/>
      <c r="H6" s="3"/>
      <c r="I6" s="3"/>
      <c r="J6" s="3"/>
      <c r="K6" s="3"/>
      <c r="L6" s="3"/>
      <c r="M6" s="3"/>
      <c r="N6" s="3"/>
      <c r="O6" s="3"/>
      <c r="P6" s="3"/>
      <c r="Q6" s="3"/>
      <c r="R6" s="3"/>
      <c r="S6" s="3"/>
      <c r="T6" s="3"/>
    </row>
    <row customHeight="1" ht="9.75" r="7" spans="2:21" thickTop="1" x14ac:dyDescent="0.3">
      <c r="B7" s="4"/>
      <c r="C7" s="579" t="s">
        <v>2</v>
      </c>
      <c r="D7" s="580"/>
      <c r="E7" s="580"/>
      <c r="F7" s="580"/>
      <c r="G7" s="581"/>
      <c r="H7" s="3"/>
      <c r="I7" s="3"/>
      <c r="J7" s="3"/>
      <c r="K7" s="3"/>
      <c r="L7" s="3"/>
      <c r="M7" s="3"/>
      <c r="N7" s="3"/>
      <c r="O7" s="3"/>
      <c r="P7" s="3"/>
      <c r="Q7" s="3"/>
      <c r="R7" s="3"/>
      <c r="S7" s="3"/>
      <c r="T7" s="3"/>
    </row>
    <row ht="17.25" r="8" spans="2:21" thickBot="1" x14ac:dyDescent="0.35">
      <c r="B8" s="5"/>
      <c r="C8" s="582"/>
      <c r="D8" s="583"/>
      <c r="E8" s="583"/>
      <c r="F8" s="583"/>
      <c r="G8" s="584"/>
      <c r="H8" s="6"/>
      <c r="I8" s="6"/>
      <c r="J8" s="6"/>
      <c r="K8" s="6"/>
      <c r="L8" s="6"/>
      <c r="M8" s="6"/>
      <c r="N8" s="6"/>
      <c r="O8" s="6"/>
      <c r="P8" s="6"/>
      <c r="Q8" s="6"/>
      <c r="R8" s="7"/>
      <c r="S8" s="5"/>
    </row>
    <row ht="17.25" r="9" spans="2:21" thickTop="1" x14ac:dyDescent="0.3">
      <c r="B9" s="5"/>
      <c r="C9" s="255"/>
      <c r="D9" s="255"/>
      <c r="E9" s="255"/>
      <c r="F9" s="255"/>
      <c r="G9" s="255"/>
      <c r="R9" s="8"/>
    </row>
    <row r="10" spans="2:21" x14ac:dyDescent="0.3">
      <c r="B10" s="5"/>
      <c r="F10" s="255"/>
      <c r="G10" s="255"/>
      <c r="H10" s="156" t="s">
        <v>3</v>
      </c>
      <c r="J10" s="573" t="inlineStr">
        <is>
          <t xml:space="preserve">AUDITORIA LOSA</t>
        </is>
      </c>
      <c r="K10" s="574"/>
      <c r="L10" s="575"/>
      <c r="N10" s="263">
        <v>1</v>
      </c>
      <c r="R10" s="8"/>
    </row>
    <row r="11" spans="2:21" x14ac:dyDescent="0.3">
      <c r="B11" s="5"/>
      <c r="F11" s="255"/>
      <c r="G11" s="255"/>
      <c r="H11" s="255"/>
      <c r="I11" s="255"/>
      <c r="R11" s="8"/>
    </row>
    <row r="12" spans="2:21" x14ac:dyDescent="0.3">
      <c r="B12" s="5"/>
      <c r="F12" s="255"/>
      <c r="G12" s="255"/>
      <c r="H12" s="156" t="s">
        <v>4</v>
      </c>
      <c r="J12" s="576" t="inlineStr">
        <is>
          <t xml:space="preserve">P-NEW</t>
        </is>
      </c>
      <c r="K12" s="577"/>
      <c r="L12" s="578"/>
      <c r="N12" s="263">
        <v>2</v>
      </c>
      <c r="R12" s="8"/>
    </row>
    <row r="13" spans="2:21" x14ac:dyDescent="0.3">
      <c r="B13" s="5"/>
      <c r="C13" s="24"/>
      <c r="D13" s="24"/>
      <c r="E13" s="52"/>
      <c r="F13" s="255"/>
      <c r="G13" s="255"/>
      <c r="P13" s="52"/>
      <c r="R13" s="8"/>
    </row>
    <row r="14" spans="2:21" x14ac:dyDescent="0.3">
      <c r="B14" s="5"/>
      <c r="C14" s="156" t="s">
        <v>5</v>
      </c>
      <c r="E14" s="285"/>
      <c r="F14" s="255"/>
      <c r="G14" s="263">
        <v>3</v>
      </c>
      <c r="H14" s="156" t="s">
        <v>6</v>
      </c>
      <c r="I14" s="24"/>
      <c r="J14" s="32"/>
      <c r="L14" s="263">
        <v>6</v>
      </c>
      <c r="M14" s="24"/>
      <c r="N14" s="156" t="s">
        <v>7</v>
      </c>
      <c r="P14" s="265" t="str">
        <f>+J20</f>
      </c>
      <c r="R14" s="264">
        <v>10</v>
      </c>
      <c r="U14" s="3"/>
    </row>
    <row r="15" spans="2:21" x14ac:dyDescent="0.3">
      <c r="B15" s="5"/>
      <c r="E15" s="52"/>
      <c r="P15" s="52"/>
      <c r="R15" s="264"/>
      <c r="T15" s="1" t="s">
        <v>8</v>
      </c>
    </row>
    <row r="16" spans="2:21" x14ac:dyDescent="0.3">
      <c r="B16" s="5"/>
      <c r="C16" s="156" t="s">
        <v>9</v>
      </c>
      <c r="E16" s="265">
        <v>-12.75</v>
      </c>
      <c r="G16" s="263">
        <v>4</v>
      </c>
      <c r="H16" s="156" t="s">
        <v>10</v>
      </c>
      <c r="I16" s="24"/>
      <c r="J16" s="32"/>
      <c r="L16" s="263">
        <v>7</v>
      </c>
      <c r="M16" s="24"/>
      <c r="N16" s="156" t="s">
        <v>11</v>
      </c>
      <c r="P16" s="286" t="inlineStr">
        <is>
          <t xml:space="preserve">PE-28H</t>
        </is>
      </c>
      <c r="R16" s="264">
        <v>11</v>
      </c>
    </row>
    <row r="17" spans="2:18" x14ac:dyDescent="0.3">
      <c r="B17" s="5"/>
      <c r="E17" s="52"/>
      <c r="P17" s="52"/>
      <c r="R17" s="264"/>
    </row>
    <row customFormat="1" customHeight="1" ht="25.5" r="18" s="448" spans="2:18" x14ac:dyDescent="0.3">
      <c r="B18" s="447"/>
      <c r="C18" s="456" t="s">
        <v>12</v>
      </c>
      <c r="E18" s="449">
        <v>-77.5</v>
      </c>
      <c r="G18" s="450">
        <v>5</v>
      </c>
      <c r="H18" s="156" t="s">
        <v>13</v>
      </c>
      <c r="I18" s="28"/>
      <c r="J18" s="449"/>
      <c r="L18" s="446">
        <v>8</v>
      </c>
      <c r="M18" s="28"/>
      <c r="N18" s="457" t="s">
        <v>14</v>
      </c>
      <c r="P18" s="451">
        <v>42125.5</v>
      </c>
      <c r="R18" s="450">
        <v>12</v>
      </c>
    </row>
    <row r="19" spans="2:18" x14ac:dyDescent="0.3">
      <c r="B19" s="5"/>
      <c r="E19" s="52"/>
      <c r="P19" s="52"/>
      <c r="R19" s="264"/>
    </row>
    <row r="20" spans="2:18" x14ac:dyDescent="0.3">
      <c r="B20" s="5"/>
      <c r="C20" s="453"/>
      <c r="D20" s="454"/>
      <c r="E20" s="455"/>
      <c r="H20" s="156" t="s">
        <v>15</v>
      </c>
      <c r="I20" s="24"/>
      <c r="J20" s="32"/>
      <c r="L20" s="263">
        <v>9</v>
      </c>
      <c r="M20" s="24"/>
      <c r="N20" s="156" t="s">
        <v>16</v>
      </c>
      <c r="P20" s="265"/>
      <c r="R20" s="264">
        <v>13</v>
      </c>
    </row>
    <row r="21" spans="2:18" x14ac:dyDescent="0.3">
      <c r="B21" s="5"/>
      <c r="C21" s="24"/>
      <c r="D21" s="24"/>
      <c r="G21" s="24"/>
      <c r="P21" s="52"/>
      <c r="R21" s="8"/>
    </row>
    <row r="22" spans="2:18" x14ac:dyDescent="0.3">
      <c r="B22" s="10"/>
      <c r="C22" s="11"/>
      <c r="D22" s="11"/>
      <c r="E22" s="11"/>
      <c r="F22" s="11"/>
      <c r="G22" s="11"/>
      <c r="H22" s="11"/>
      <c r="I22" s="11"/>
      <c r="J22" s="11"/>
      <c r="K22" s="11"/>
      <c r="L22" s="11"/>
      <c r="M22" s="11"/>
      <c r="N22" s="11"/>
      <c r="O22" s="11"/>
      <c r="P22" s="287"/>
      <c r="Q22" s="11"/>
      <c r="R22" s="12"/>
    </row>
    <row r="23" spans="2:18" x14ac:dyDescent="0.3">
      <c r="P23" s="52"/>
    </row>
    <row ht="17.25" r="24" spans="2:18" thickBot="1" x14ac:dyDescent="0.35">
      <c r="P24" s="52"/>
    </row>
    <row customHeight="1" ht="16.5" r="25" spans="2:18" thickTop="1" x14ac:dyDescent="0.3">
      <c r="C25" s="579" t="s">
        <v>17</v>
      </c>
      <c r="D25" s="580"/>
      <c r="E25" s="580"/>
      <c r="F25" s="580"/>
      <c r="G25" s="581"/>
      <c r="K25" s="11"/>
      <c r="L25" s="11"/>
      <c r="M25" s="11"/>
      <c r="N25" s="11"/>
      <c r="O25" s="11"/>
      <c r="P25" s="287"/>
      <c r="Q25" s="11"/>
      <c r="R25" s="11"/>
    </row>
    <row ht="17.25" r="26" spans="2:18" thickBot="1" x14ac:dyDescent="0.35">
      <c r="B26" s="13"/>
      <c r="C26" s="582"/>
      <c r="D26" s="583"/>
      <c r="E26" s="583"/>
      <c r="F26" s="583"/>
      <c r="G26" s="584"/>
      <c r="H26" s="6"/>
      <c r="I26" s="6"/>
      <c r="J26" s="6"/>
      <c r="N26" s="52"/>
      <c r="O26" s="52"/>
      <c r="P26" s="52"/>
      <c r="R26" s="8"/>
    </row>
    <row ht="17.25" r="27" spans="2:18" thickTop="1" x14ac:dyDescent="0.3">
      <c r="B27" s="5"/>
      <c r="E27" s="52"/>
      <c r="N27" s="52"/>
      <c r="O27" s="52"/>
      <c r="P27" s="52"/>
      <c r="R27" s="8"/>
    </row>
    <row r="28" spans="2:18" x14ac:dyDescent="0.3">
      <c r="B28" s="5"/>
      <c r="C28" s="156" t="s">
        <v>18</v>
      </c>
      <c r="D28" s="24"/>
      <c r="E28" s="265"/>
      <c r="G28" s="263">
        <v>1</v>
      </c>
      <c r="J28" s="156" t="s">
        <v>19</v>
      </c>
      <c r="K28" s="156"/>
      <c r="L28" s="156"/>
      <c r="M28" s="14"/>
      <c r="N28" s="265"/>
      <c r="O28" s="52"/>
      <c r="P28" s="263">
        <v>10</v>
      </c>
      <c r="R28" s="8"/>
    </row>
    <row r="29" spans="2:18" x14ac:dyDescent="0.3">
      <c r="B29" s="5"/>
      <c r="E29" s="52"/>
      <c r="N29" s="52"/>
      <c r="O29" s="52"/>
      <c r="P29" s="52"/>
      <c r="R29" s="8"/>
    </row>
    <row r="30" spans="2:18" x14ac:dyDescent="0.3">
      <c r="B30" s="5"/>
      <c r="C30" s="156" t="s">
        <v>20</v>
      </c>
      <c r="D30" s="24"/>
      <c r="E30" s="265"/>
      <c r="G30" s="263">
        <v>2</v>
      </c>
      <c r="J30" s="156" t="s">
        <v>21</v>
      </c>
      <c r="K30" s="156"/>
      <c r="L30" s="156"/>
      <c r="M30" s="14"/>
      <c r="N30" s="286"/>
      <c r="O30" s="52"/>
      <c r="P30" s="263">
        <v>11</v>
      </c>
      <c r="R30" s="8"/>
    </row>
    <row r="31" spans="2:18" x14ac:dyDescent="0.3">
      <c r="B31" s="5"/>
      <c r="E31" s="52"/>
      <c r="N31" s="52"/>
      <c r="O31" s="52"/>
      <c r="P31" s="52"/>
      <c r="R31" s="8"/>
    </row>
    <row r="32" spans="2:18" x14ac:dyDescent="0.3">
      <c r="B32" s="5"/>
      <c r="C32" s="156" t="s">
        <v>22</v>
      </c>
      <c r="D32" s="24"/>
      <c r="E32" s="289">
        <v>18.4</v>
      </c>
      <c r="G32" s="263">
        <v>3</v>
      </c>
      <c r="J32" s="156" t="s">
        <v>23</v>
      </c>
      <c r="K32" s="156"/>
      <c r="L32" s="156"/>
      <c r="M32" s="14"/>
      <c r="N32" s="288">
        <v>46302</v>
      </c>
      <c r="O32" s="52"/>
      <c r="P32" s="263">
        <v>12</v>
      </c>
      <c r="R32" s="8" t="s">
        <v>24</v>
      </c>
    </row>
    <row r="33" spans="2:18" x14ac:dyDescent="0.3">
      <c r="B33" s="5"/>
      <c r="E33" s="290"/>
      <c r="N33" s="52"/>
      <c r="O33" s="52"/>
      <c r="P33" s="52"/>
      <c r="R33" s="8"/>
    </row>
    <row r="34" spans="2:18" x14ac:dyDescent="0.3">
      <c r="B34" s="5"/>
      <c r="C34" s="156" t="s">
        <v>25</v>
      </c>
      <c r="D34" s="256"/>
      <c r="E34" s="265"/>
      <c r="G34" s="263">
        <v>4</v>
      </c>
      <c r="J34" s="156" t="s">
        <v>26</v>
      </c>
      <c r="K34" s="156"/>
      <c r="L34" s="156"/>
      <c r="M34" s="14"/>
      <c r="N34" s="286"/>
      <c r="O34" s="52"/>
      <c r="P34" s="263">
        <v>13</v>
      </c>
      <c r="R34" s="8"/>
    </row>
    <row r="35" spans="2:18" x14ac:dyDescent="0.3">
      <c r="B35" s="5"/>
      <c r="E35" s="52"/>
      <c r="N35" s="52"/>
      <c r="O35" s="52"/>
      <c r="P35" s="52"/>
      <c r="R35" s="8"/>
    </row>
    <row customHeight="1" ht="16.5" r="36" spans="2:18" x14ac:dyDescent="0.3">
      <c r="B36" s="5"/>
      <c r="C36" s="156" t="s">
        <v>27</v>
      </c>
      <c r="D36" s="24"/>
      <c r="E36" s="382"/>
      <c r="G36" s="263">
        <v>5</v>
      </c>
      <c r="J36" s="585" t="s">
        <v>28</v>
      </c>
      <c r="K36" s="586"/>
      <c r="L36" s="587"/>
      <c r="M36" s="14"/>
      <c r="N36" s="591"/>
      <c r="O36" s="592"/>
      <c r="P36" s="593"/>
      <c r="R36" s="264">
        <v>14</v>
      </c>
    </row>
    <row r="37" spans="2:18" x14ac:dyDescent="0.3">
      <c r="B37" s="5"/>
      <c r="E37" s="290"/>
      <c r="N37" s="52"/>
      <c r="O37" s="52"/>
      <c r="P37" s="52"/>
      <c r="R37" s="8"/>
    </row>
    <row r="38" spans="2:18" x14ac:dyDescent="0.3">
      <c r="B38" s="5"/>
      <c r="C38" s="156" t="s">
        <v>29</v>
      </c>
      <c r="D38" s="256"/>
      <c r="E38" s="286"/>
      <c r="G38" s="263">
        <v>6</v>
      </c>
      <c r="J38" s="588" t="s">
        <v>30</v>
      </c>
      <c r="K38" s="589"/>
      <c r="L38" s="590"/>
      <c r="M38" s="14"/>
      <c r="N38" s="391"/>
      <c r="O38" s="52"/>
      <c r="P38" s="263">
        <v>15</v>
      </c>
      <c r="R38" s="8"/>
    </row>
    <row r="39" spans="2:18" x14ac:dyDescent="0.3">
      <c r="B39" s="5"/>
      <c r="E39" s="52"/>
      <c r="N39" s="52"/>
      <c r="O39" s="52"/>
      <c r="P39" s="52"/>
      <c r="R39" s="8"/>
    </row>
    <row r="40" spans="2:18" x14ac:dyDescent="0.3">
      <c r="B40" s="5"/>
      <c r="C40" s="156" t="s">
        <v>31</v>
      </c>
      <c r="D40" s="24"/>
      <c r="E40" s="382"/>
      <c r="G40" s="263">
        <v>7</v>
      </c>
      <c r="J40" s="588" t="s">
        <v>32</v>
      </c>
      <c r="K40" s="589"/>
      <c r="L40" s="590"/>
      <c r="M40" s="14"/>
      <c r="N40" s="265"/>
      <c r="O40" s="52"/>
      <c r="P40" s="263">
        <v>16</v>
      </c>
      <c r="R40" s="8"/>
    </row>
    <row r="41" spans="2:18" x14ac:dyDescent="0.3">
      <c r="B41" s="5"/>
      <c r="E41" s="290"/>
      <c r="N41" s="52"/>
      <c r="O41" s="52"/>
      <c r="P41" s="52"/>
      <c r="R41" s="8"/>
    </row>
    <row customHeight="1" ht="16.5" r="42" spans="2:18" x14ac:dyDescent="0.3">
      <c r="B42" s="5"/>
      <c r="C42" s="156" t="s">
        <v>33</v>
      </c>
      <c r="D42" s="24"/>
      <c r="E42" s="289"/>
      <c r="G42" s="263">
        <v>8</v>
      </c>
      <c r="J42" s="595" t="s">
        <v>34</v>
      </c>
      <c r="K42" s="596"/>
      <c r="L42" s="597"/>
      <c r="M42" s="14"/>
      <c r="N42" s="392"/>
      <c r="O42" s="52"/>
      <c r="P42" s="263">
        <v>17</v>
      </c>
      <c r="R42" s="8"/>
    </row>
    <row r="43" spans="2:18" x14ac:dyDescent="0.3">
      <c r="B43" s="5"/>
      <c r="E43" s="290"/>
      <c r="N43" s="52"/>
      <c r="O43" s="52"/>
      <c r="P43" s="52"/>
      <c r="R43" s="8"/>
    </row>
    <row r="44" spans="2:18" x14ac:dyDescent="0.3">
      <c r="B44" s="5"/>
      <c r="C44" s="156" t="s">
        <v>35</v>
      </c>
      <c r="D44" s="24"/>
      <c r="E44" s="289"/>
      <c r="G44" s="263">
        <v>9</v>
      </c>
      <c r="J44" s="559" t="s">
        <v>36</v>
      </c>
      <c r="K44" s="560"/>
      <c r="L44" s="561"/>
      <c r="N44" s="265"/>
      <c r="O44" s="52"/>
      <c r="P44" s="263">
        <v>18</v>
      </c>
      <c r="R44" s="8"/>
    </row>
    <row r="45" spans="2:18" x14ac:dyDescent="0.3">
      <c r="B45" s="5"/>
      <c r="E45" s="52"/>
      <c r="N45" s="52"/>
      <c r="O45" s="52"/>
      <c r="P45" s="52"/>
      <c r="R45" s="8"/>
    </row>
    <row r="46" spans="2:18" x14ac:dyDescent="0.3">
      <c r="B46" s="5"/>
      <c r="J46" s="559" t="s">
        <v>37</v>
      </c>
      <c r="K46" s="560"/>
      <c r="L46" s="561"/>
      <c r="M46" s="14"/>
      <c r="N46" s="265"/>
      <c r="O46" s="52"/>
      <c r="P46" s="263">
        <v>19</v>
      </c>
      <c r="R46" s="8"/>
    </row>
    <row r="47" spans="2:18" x14ac:dyDescent="0.3">
      <c r="B47" s="10"/>
      <c r="C47" s="16"/>
      <c r="D47" s="16"/>
      <c r="E47" s="11"/>
      <c r="F47" s="11"/>
      <c r="G47" s="11"/>
      <c r="H47" s="11"/>
      <c r="I47" s="11"/>
      <c r="J47" s="11"/>
      <c r="K47" s="11"/>
      <c r="L47" s="11"/>
      <c r="M47" s="11"/>
      <c r="N47" s="11"/>
      <c r="O47" s="11"/>
      <c r="P47" s="11"/>
      <c r="Q47" s="11"/>
      <c r="R47" s="12"/>
    </row>
    <row hidden="1" outlineLevel="1" r="49" spans="2:20" x14ac:dyDescent="0.3">
      <c r="C49" s="17" t="s">
        <v>38</v>
      </c>
      <c r="D49" s="46"/>
      <c r="E49" s="18"/>
      <c r="G49" s="521" t="s">
        <v>39</v>
      </c>
      <c r="H49" s="523"/>
      <c r="J49" s="521" t="s">
        <v>40</v>
      </c>
      <c r="K49" s="522"/>
      <c r="L49" s="523"/>
      <c r="N49" s="521" t="s">
        <v>41</v>
      </c>
      <c r="O49" s="522"/>
      <c r="P49" s="523"/>
      <c r="Q49" s="38"/>
    </row>
    <row hidden="1" outlineLevel="1" r="50" spans="2:20" x14ac:dyDescent="0.3">
      <c r="C50" s="19" t="s">
        <v>42</v>
      </c>
      <c r="D50" s="19"/>
      <c r="E50" s="19"/>
      <c r="F50" s="19"/>
      <c r="G50" s="19" t="s">
        <v>43</v>
      </c>
      <c r="H50" s="19"/>
      <c r="I50" s="19"/>
      <c r="J50" s="20" t="s">
        <v>44</v>
      </c>
      <c r="K50" s="20"/>
      <c r="L50" s="20"/>
      <c r="M50" s="19"/>
      <c r="N50" s="20" t="s">
        <v>45</v>
      </c>
      <c r="O50" s="20"/>
      <c r="P50" s="20"/>
      <c r="Q50" s="19"/>
    </row>
    <row hidden="1" outlineLevel="1" r="51" spans="2:20" x14ac:dyDescent="0.3">
      <c r="C51" s="19" t="s">
        <v>46</v>
      </c>
      <c r="D51" s="19"/>
      <c r="E51" s="19"/>
      <c r="F51" s="19"/>
      <c r="G51" s="19" t="s">
        <v>47</v>
      </c>
      <c r="H51" s="19"/>
      <c r="I51" s="19"/>
      <c r="J51" s="19" t="s">
        <v>48</v>
      </c>
      <c r="K51" s="19"/>
      <c r="L51" s="19"/>
      <c r="M51" s="19"/>
      <c r="N51" s="19" t="s">
        <v>49</v>
      </c>
      <c r="O51" s="19"/>
      <c r="P51" s="19"/>
      <c r="Q51" s="19"/>
      <c r="R51" s="521" t="s">
        <v>50</v>
      </c>
      <c r="S51" s="522"/>
      <c r="T51" s="523"/>
    </row>
    <row hidden="1" outlineLevel="1" r="52" spans="2:20" x14ac:dyDescent="0.3">
      <c r="C52" s="19" t="s">
        <v>51</v>
      </c>
      <c r="D52" s="19"/>
      <c r="E52" s="19"/>
      <c r="F52" s="21"/>
      <c r="G52" s="19" t="s">
        <v>52</v>
      </c>
      <c r="H52" s="19"/>
      <c r="I52" s="21"/>
      <c r="J52" s="19" t="s">
        <v>53</v>
      </c>
      <c r="K52" s="19"/>
      <c r="L52" s="19"/>
      <c r="M52" s="21"/>
      <c r="N52" s="19" t="s">
        <v>54</v>
      </c>
      <c r="O52" s="19"/>
      <c r="P52" s="19"/>
      <c r="Q52" s="19"/>
      <c r="R52" s="51" t="s">
        <v>55</v>
      </c>
      <c r="S52" s="51"/>
      <c r="T52" s="51"/>
    </row>
    <row customHeight="1" hidden="1" ht="31.5" outlineLevel="1" r="53" spans="2:20" x14ac:dyDescent="0.3">
      <c r="C53" s="19" t="s">
        <v>56</v>
      </c>
      <c r="D53" s="19"/>
      <c r="E53" s="19"/>
      <c r="F53" s="21"/>
      <c r="G53" s="19"/>
      <c r="H53" s="19"/>
      <c r="I53" s="21"/>
      <c r="J53" s="22" t="s">
        <v>57</v>
      </c>
      <c r="K53" s="22"/>
      <c r="L53" s="22"/>
      <c r="M53" s="23"/>
      <c r="N53" s="19"/>
      <c r="O53" s="19"/>
      <c r="P53" s="19"/>
      <c r="Q53" s="19"/>
      <c r="R53" s="51" t="s">
        <v>58</v>
      </c>
      <c r="S53" s="51"/>
      <c r="T53" s="51"/>
    </row>
    <row hidden="1" outlineLevel="1" r="54" spans="2:20" x14ac:dyDescent="0.3">
      <c r="C54" s="19" t="s">
        <v>59</v>
      </c>
      <c r="D54" s="19"/>
      <c r="E54" s="19"/>
      <c r="F54" s="21"/>
      <c r="G54" s="19"/>
      <c r="H54" s="19"/>
      <c r="I54" s="21"/>
      <c r="J54" s="19" t="s">
        <v>60</v>
      </c>
      <c r="K54" s="19"/>
      <c r="L54" s="19"/>
      <c r="M54" s="21"/>
      <c r="R54" s="51" t="s">
        <v>61</v>
      </c>
      <c r="S54" s="51"/>
      <c r="T54" s="51"/>
    </row>
    <row hidden="1" outlineLevel="1" r="55" spans="2:20" x14ac:dyDescent="0.3">
      <c r="C55" s="19" t="s">
        <v>62</v>
      </c>
      <c r="D55" s="19"/>
      <c r="E55" s="19"/>
      <c r="F55" s="21"/>
      <c r="G55" s="19"/>
      <c r="H55" s="19"/>
      <c r="I55" s="21"/>
      <c r="J55" s="594"/>
      <c r="K55" s="594"/>
      <c r="L55" s="594"/>
      <c r="M55" s="21"/>
    </row>
    <row customHeight="1" hidden="1" ht="36" outlineLevel="1" r="56" spans="2:20" x14ac:dyDescent="0.3">
      <c r="C56" s="22" t="s">
        <v>63</v>
      </c>
      <c r="D56" s="22"/>
      <c r="E56" s="22"/>
      <c r="F56" s="23"/>
      <c r="G56" s="594"/>
      <c r="H56" s="594"/>
      <c r="I56" s="21"/>
      <c r="J56" s="594"/>
      <c r="K56" s="594"/>
      <c r="L56" s="594"/>
      <c r="M56" s="21"/>
    </row>
    <row customHeight="1" hidden="1" ht="34.5" outlineLevel="1" r="57" spans="2:20" x14ac:dyDescent="0.3">
      <c r="C57" s="22" t="s">
        <v>64</v>
      </c>
      <c r="D57" s="22"/>
      <c r="E57" s="22"/>
      <c r="F57" s="23"/>
      <c r="G57" s="594"/>
      <c r="H57" s="594"/>
      <c r="I57" s="21"/>
      <c r="J57" s="594"/>
      <c r="K57" s="594"/>
      <c r="L57" s="594"/>
      <c r="M57" s="21"/>
    </row>
    <row hidden="1" outlineLevel="1" r="58" spans="2:20" x14ac:dyDescent="0.3">
      <c r="C58" s="562"/>
      <c r="D58" s="562"/>
      <c r="E58" s="562"/>
      <c r="F58" s="3"/>
    </row>
    <row collapsed="1" customHeight="1" ht="16.5" r="59" spans="2:20" thickBot="1" x14ac:dyDescent="0.35"/>
    <row ht="17.25" r="60" spans="2:20" thickTop="1" x14ac:dyDescent="0.3">
      <c r="C60" s="563" t="s">
        <v>65</v>
      </c>
      <c r="D60" s="564"/>
      <c r="E60" s="565"/>
      <c r="F60" s="565"/>
      <c r="G60" s="566"/>
    </row>
    <row ht="17.25" r="61" spans="2:20" thickBot="1" x14ac:dyDescent="0.35">
      <c r="B61" s="13"/>
      <c r="C61" s="567"/>
      <c r="D61" s="568"/>
      <c r="E61" s="568"/>
      <c r="F61" s="568"/>
      <c r="G61" s="569"/>
      <c r="H61" s="6"/>
      <c r="I61" s="6"/>
      <c r="J61" s="6"/>
      <c r="K61" s="6"/>
      <c r="L61" s="6"/>
      <c r="M61" s="6"/>
      <c r="N61" s="6"/>
      <c r="O61" s="6"/>
      <c r="P61" s="6"/>
      <c r="Q61" s="6"/>
      <c r="R61" s="7"/>
    </row>
    <row ht="17.25" r="62" spans="2:20" thickTop="1" x14ac:dyDescent="0.3">
      <c r="B62" s="5"/>
      <c r="E62" s="52"/>
      <c r="R62" s="8"/>
    </row>
    <row r="63" spans="2:20" x14ac:dyDescent="0.3">
      <c r="B63" s="5"/>
      <c r="C63" s="156" t="s">
        <v>66</v>
      </c>
      <c r="D63" s="24"/>
      <c r="E63" s="265"/>
      <c r="G63" s="263">
        <v>1</v>
      </c>
      <c r="H63" s="9" t="s">
        <v>67</v>
      </c>
      <c r="J63" s="382">
        <f>+E67</f>
      </c>
      <c r="L63" s="263">
        <v>4</v>
      </c>
      <c r="N63"/>
      <c r="O63"/>
      <c r="P63"/>
      <c r="Q63"/>
      <c r="R63" s="8"/>
    </row>
    <row r="64" spans="2:20" x14ac:dyDescent="0.3">
      <c r="B64" s="5"/>
      <c r="E64" s="52"/>
      <c r="H64" s="3"/>
      <c r="J64" s="15"/>
      <c r="N64"/>
      <c r="O64"/>
      <c r="P64"/>
      <c r="Q64"/>
      <c r="R64" s="8"/>
    </row>
    <row r="65" spans="2:21" x14ac:dyDescent="0.3">
      <c r="B65" s="5"/>
      <c r="C65" s="156" t="s">
        <v>68</v>
      </c>
      <c r="D65" s="24"/>
      <c r="E65" s="265"/>
      <c r="G65" s="263">
        <v>2</v>
      </c>
      <c r="H65" s="9" t="s">
        <v>69</v>
      </c>
      <c r="J65" s="280"/>
      <c r="L65" s="263">
        <v>5</v>
      </c>
      <c r="N65"/>
      <c r="O65"/>
      <c r="P65"/>
      <c r="Q65"/>
      <c r="R65" s="8"/>
    </row>
    <row r="66" spans="2:21" x14ac:dyDescent="0.3">
      <c r="B66" s="5"/>
      <c r="E66" s="52"/>
      <c r="H66" s="3"/>
      <c r="J66" s="15"/>
      <c r="N66"/>
      <c r="O66"/>
      <c r="P66"/>
      <c r="Q66"/>
      <c r="R66" s="8"/>
    </row>
    <row r="67" spans="2:21" x14ac:dyDescent="0.3">
      <c r="B67" s="5"/>
      <c r="C67" s="156" t="s">
        <v>22</v>
      </c>
      <c r="D67" s="24"/>
      <c r="E67" s="382">
        <f>+E32</f>
      </c>
      <c r="G67" s="267" t="s">
        <v>70</v>
      </c>
      <c r="H67" s="9" t="s">
        <v>71</v>
      </c>
      <c r="J67" s="280"/>
      <c r="L67" s="263">
        <v>6</v>
      </c>
      <c r="N67"/>
      <c r="O67"/>
      <c r="P67"/>
      <c r="Q67"/>
      <c r="R67" s="8"/>
    </row>
    <row r="68" spans="2:21" x14ac:dyDescent="0.3">
      <c r="B68" s="5"/>
      <c r="E68" s="290"/>
      <c r="R68" s="8"/>
    </row>
    <row r="69" spans="2:21" x14ac:dyDescent="0.3">
      <c r="B69" s="5"/>
      <c r="C69" s="156" t="s">
        <v>72</v>
      </c>
      <c r="D69" s="24"/>
      <c r="E69" s="382"/>
      <c r="F69" s="15"/>
      <c r="G69" s="268">
        <v>3</v>
      </c>
      <c r="R69" s="8"/>
    </row>
    <row r="70" spans="2:21" x14ac:dyDescent="0.3">
      <c r="B70" s="10"/>
      <c r="C70" s="11"/>
      <c r="D70" s="11"/>
      <c r="E70" s="287"/>
      <c r="F70" s="11"/>
      <c r="G70" s="11"/>
      <c r="H70" s="11"/>
      <c r="I70" s="11"/>
      <c r="J70" s="11"/>
      <c r="K70" s="11"/>
      <c r="L70" s="11"/>
      <c r="M70" s="11"/>
      <c r="N70" s="11"/>
      <c r="O70" s="11"/>
      <c r="P70" s="11"/>
      <c r="Q70" s="11"/>
      <c r="R70" s="12"/>
    </row>
    <row customHeight="1" ht="12.75" r="73" spans="2:21" x14ac:dyDescent="0.3">
      <c r="C73" s="512" t="s">
        <v>73</v>
      </c>
      <c r="D73" s="513"/>
      <c r="E73" s="513"/>
      <c r="F73" s="513"/>
      <c r="G73" s="514"/>
      <c r="H73" s="11"/>
      <c r="I73" s="11"/>
      <c r="J73" s="219" t="s">
        <v>74</v>
      </c>
      <c r="K73" s="220"/>
      <c r="L73" s="220"/>
      <c r="M73" s="220"/>
      <c r="N73" s="221"/>
      <c r="O73" s="262"/>
      <c r="P73" s="25"/>
    </row>
    <row customHeight="1" ht="9" r="74" spans="2:21" x14ac:dyDescent="0.3">
      <c r="B74" s="13"/>
      <c r="C74" s="515"/>
      <c r="D74" s="516"/>
      <c r="E74" s="516"/>
      <c r="F74" s="516"/>
      <c r="G74" s="517"/>
      <c r="H74" s="6"/>
      <c r="J74" s="222"/>
      <c r="K74" s="223"/>
      <c r="L74" s="223"/>
      <c r="M74" s="223"/>
      <c r="N74" s="224"/>
      <c r="O74" s="262"/>
      <c r="P74" s="31"/>
      <c r="Q74" s="6"/>
      <c r="R74" s="7"/>
    </row>
    <row r="75" spans="2:21" x14ac:dyDescent="0.3">
      <c r="B75" s="5"/>
      <c r="C75" s="1" t="s">
        <v>75</v>
      </c>
      <c r="J75" s="1" t="s">
        <v>76</v>
      </c>
      <c r="L75" s="1" t="str">
        <f>+IF(E65="Desiguales","","(igual a Sección 1)")</f>
      </c>
      <c r="R75" s="8"/>
      <c r="U75" s="34" t="s">
        <v>77</v>
      </c>
    </row>
    <row r="76" spans="2:21" x14ac:dyDescent="0.3">
      <c r="B76" s="5"/>
      <c r="C76" s="1" t="s">
        <v>78</v>
      </c>
      <c r="E76" s="52"/>
      <c r="F76" s="52"/>
      <c r="G76" s="52"/>
      <c r="N76" s="52"/>
      <c r="O76" s="52"/>
      <c r="P76" s="52"/>
      <c r="R76" s="8"/>
      <c r="U76" s="179" t="s">
        <v>79</v>
      </c>
    </row>
    <row r="77" spans="2:21" x14ac:dyDescent="0.3">
      <c r="B77" s="5"/>
      <c r="C77" s="156" t="s">
        <v>80</v>
      </c>
      <c r="D77" s="24"/>
      <c r="E77" s="265"/>
      <c r="F77" s="292"/>
      <c r="G77" s="263">
        <v>1</v>
      </c>
      <c r="J77" s="225" t="s">
        <v>80</v>
      </c>
      <c r="K77" s="226"/>
      <c r="L77" s="227"/>
      <c r="M77" s="14"/>
      <c r="N77" s="265"/>
      <c r="O77" s="292"/>
      <c r="P77" s="263">
        <v>1</v>
      </c>
      <c r="R77" s="264"/>
      <c r="U77" s="179" t="s">
        <v>81</v>
      </c>
    </row>
    <row r="78" spans="2:21" x14ac:dyDescent="0.3">
      <c r="B78" s="5"/>
      <c r="E78" s="52"/>
      <c r="F78" s="52"/>
      <c r="G78" s="52"/>
      <c r="N78" s="52"/>
      <c r="O78" s="52"/>
      <c r="P78" s="52"/>
      <c r="R78" s="8"/>
      <c r="U78" s="179" t="s">
        <v>82</v>
      </c>
    </row>
    <row r="79" spans="2:21" x14ac:dyDescent="0.3">
      <c r="B79" s="5"/>
      <c r="C79" s="156" t="s">
        <v>83</v>
      </c>
      <c r="D79" s="24"/>
      <c r="E79" s="286"/>
      <c r="F79" s="52"/>
      <c r="G79" s="263">
        <v>2</v>
      </c>
      <c r="J79" s="225" t="s">
        <v>84</v>
      </c>
      <c r="K79" s="226"/>
      <c r="L79" s="227"/>
      <c r="M79" s="14"/>
      <c r="N79" s="286"/>
      <c r="O79" s="52"/>
      <c r="P79" s="263">
        <v>2</v>
      </c>
      <c r="R79" s="264"/>
      <c r="U79" s="180" t="s">
        <v>85</v>
      </c>
    </row>
    <row r="80" spans="2:21" x14ac:dyDescent="0.3">
      <c r="B80" s="5"/>
      <c r="E80" s="52"/>
      <c r="F80" s="52"/>
      <c r="G80" s="52"/>
      <c r="N80" s="52"/>
      <c r="O80" s="52"/>
      <c r="P80" s="52"/>
      <c r="R80" s="8"/>
      <c r="U80" s="179" t="s">
        <v>86</v>
      </c>
    </row>
    <row r="81" spans="2:21" x14ac:dyDescent="0.3">
      <c r="B81" s="5"/>
      <c r="C81" s="483" t="str">
        <f>+IF(E77="ALCANTARILLA","Ojos/Vanos:","Caract. Secundaria:")</f>
      </c>
      <c r="D81" s="24"/>
      <c r="E81" s="570"/>
      <c r="F81" s="571"/>
      <c r="G81" s="572"/>
      <c r="H81" s="263">
        <v>3</v>
      </c>
      <c r="J81" s="484" t="s">
        <v>87</v>
      </c>
      <c r="K81" s="486"/>
      <c r="L81" s="485"/>
      <c r="M81" s="14"/>
      <c r="N81" s="570"/>
      <c r="O81" s="571"/>
      <c r="P81" s="572"/>
      <c r="Q81" s="263"/>
      <c r="R81" s="264">
        <v>3</v>
      </c>
      <c r="U81" s="179" t="s">
        <v>88</v>
      </c>
    </row>
    <row r="82" spans="2:21" x14ac:dyDescent="0.3">
      <c r="B82" s="5"/>
      <c r="C82" s="1" t="s">
        <v>89</v>
      </c>
      <c r="E82" s="52"/>
      <c r="F82" s="52"/>
      <c r="G82" s="52"/>
      <c r="H82" s="182"/>
      <c r="I82" s="182"/>
      <c r="N82" s="52"/>
      <c r="O82" s="52"/>
      <c r="P82" s="52"/>
      <c r="R82" s="8"/>
      <c r="U82" s="179" t="s">
        <v>90</v>
      </c>
    </row>
    <row r="83" spans="2:21" x14ac:dyDescent="0.3">
      <c r="B83" s="5"/>
      <c r="C83" s="156" t="s">
        <v>91</v>
      </c>
      <c r="D83" s="24"/>
      <c r="E83" s="265"/>
      <c r="F83" s="52"/>
      <c r="G83" s="263">
        <v>4</v>
      </c>
      <c r="H83" s="269"/>
      <c r="I83" s="270"/>
      <c r="J83" s="225" t="s">
        <v>91</v>
      </c>
      <c r="K83" s="226"/>
      <c r="L83" s="227"/>
      <c r="M83" s="14"/>
      <c r="N83" s="265"/>
      <c r="O83" s="52"/>
      <c r="P83" s="263">
        <v>4</v>
      </c>
      <c r="R83" s="8"/>
      <c r="U83" s="34" t="s">
        <v>92</v>
      </c>
    </row>
    <row r="84" spans="2:21" x14ac:dyDescent="0.3">
      <c r="B84" s="5"/>
      <c r="C84" s="1" t="s">
        <v>93</v>
      </c>
      <c r="E84" s="52"/>
      <c r="F84" s="52"/>
      <c r="G84" s="52"/>
      <c r="H84" s="270"/>
      <c r="I84" s="270"/>
      <c r="N84" s="52"/>
      <c r="O84" s="52"/>
      <c r="P84" s="52"/>
      <c r="R84" s="8"/>
      <c r="U84" s="179" t="s">
        <v>94</v>
      </c>
    </row>
    <row r="85" spans="2:21" x14ac:dyDescent="0.3">
      <c r="B85" s="5"/>
      <c r="C85" s="156" t="s">
        <v>95</v>
      </c>
      <c r="D85" s="24"/>
      <c r="E85" s="291"/>
      <c r="F85" s="52"/>
      <c r="G85" s="263">
        <v>5</v>
      </c>
      <c r="H85" s="270"/>
      <c r="I85" s="270"/>
      <c r="J85" s="225" t="s">
        <v>95</v>
      </c>
      <c r="K85" s="226"/>
      <c r="L85" s="227"/>
      <c r="M85" s="14"/>
      <c r="N85" s="291"/>
      <c r="O85" s="52"/>
      <c r="P85" s="263">
        <v>5</v>
      </c>
      <c r="R85" s="8"/>
      <c r="U85" s="179" t="s">
        <v>96</v>
      </c>
    </row>
    <row r="86" spans="2:21" x14ac:dyDescent="0.3">
      <c r="B86" s="5"/>
      <c r="E86" s="52"/>
      <c r="F86" s="52"/>
      <c r="G86" s="52"/>
      <c r="H86" s="270"/>
      <c r="I86" s="270"/>
      <c r="N86" s="52"/>
      <c r="O86" s="52"/>
      <c r="P86" s="52"/>
      <c r="R86" s="8"/>
      <c r="U86" s="179" t="s">
        <v>97</v>
      </c>
    </row>
    <row r="87" spans="2:21" x14ac:dyDescent="0.3">
      <c r="B87" s="5"/>
      <c r="C87" s="1" t="s">
        <v>98</v>
      </c>
      <c r="E87" s="52"/>
      <c r="F87" s="52"/>
      <c r="G87" s="52"/>
      <c r="H87" s="270"/>
      <c r="I87" s="270"/>
      <c r="J87" s="14"/>
      <c r="K87" s="14"/>
      <c r="L87" s="14"/>
      <c r="M87" s="14"/>
      <c r="N87" s="15"/>
      <c r="O87" s="15"/>
      <c r="R87" s="8"/>
      <c r="U87" s="34" t="s">
        <v>99</v>
      </c>
    </row>
    <row r="88" spans="2:21" x14ac:dyDescent="0.3">
      <c r="B88" s="5"/>
      <c r="C88" s="24"/>
      <c r="D88" s="24"/>
      <c r="E88" s="290"/>
      <c r="F88" s="52"/>
      <c r="G88" s="52"/>
      <c r="H88" s="182"/>
      <c r="I88" s="182"/>
      <c r="J88" s="182"/>
      <c r="L88" s="14"/>
      <c r="M88" s="14"/>
      <c r="N88" s="14"/>
      <c r="O88" s="14"/>
      <c r="P88" s="15"/>
      <c r="Q88" s="15"/>
      <c r="R88" s="8"/>
      <c r="U88" s="179" t="s">
        <v>100</v>
      </c>
    </row>
    <row r="89" spans="2:21" x14ac:dyDescent="0.3">
      <c r="B89" s="10"/>
      <c r="C89" s="11"/>
      <c r="D89" s="11"/>
      <c r="E89" s="11"/>
      <c r="F89" s="11"/>
      <c r="G89" s="11"/>
      <c r="H89" s="11"/>
      <c r="I89" s="11"/>
      <c r="J89" s="11"/>
      <c r="K89" s="11"/>
      <c r="L89" s="11"/>
      <c r="M89" s="11"/>
      <c r="N89" s="11"/>
      <c r="O89" s="11"/>
      <c r="P89" s="11"/>
      <c r="Q89" s="11"/>
      <c r="R89" s="12"/>
      <c r="U89" s="179" t="s">
        <v>101</v>
      </c>
    </row>
    <row r="90" spans="2:21" x14ac:dyDescent="0.3">
      <c r="U90" s="179" t="s">
        <v>85</v>
      </c>
    </row>
    <row r="91" spans="2:21" x14ac:dyDescent="0.3">
      <c r="U91" s="180" t="s">
        <v>82</v>
      </c>
    </row>
    <row customHeight="1" ht="12.75" r="92" spans="2:21" x14ac:dyDescent="0.3">
      <c r="C92" s="512" t="s">
        <v>102</v>
      </c>
      <c r="D92" s="513"/>
      <c r="E92" s="513"/>
      <c r="F92" s="513"/>
      <c r="G92" s="514"/>
      <c r="H92" s="25"/>
      <c r="K92" s="11"/>
      <c r="L92" s="11"/>
      <c r="M92" s="11"/>
      <c r="N92" s="11"/>
      <c r="O92" s="11"/>
      <c r="P92" s="11"/>
      <c r="Q92" s="11"/>
      <c r="R92" s="11"/>
      <c r="U92" s="179" t="s">
        <v>97</v>
      </c>
    </row>
    <row customHeight="1" ht="13.5" r="93" spans="2:21" x14ac:dyDescent="0.3">
      <c r="B93" s="13"/>
      <c r="C93" s="515"/>
      <c r="D93" s="516"/>
      <c r="E93" s="516"/>
      <c r="F93" s="516"/>
      <c r="G93" s="517"/>
      <c r="H93" s="26"/>
      <c r="I93" s="6"/>
      <c r="J93" s="6"/>
      <c r="R93" s="8"/>
      <c r="U93" s="34" t="s">
        <v>103</v>
      </c>
    </row>
    <row r="94" spans="2:21" x14ac:dyDescent="0.3">
      <c r="B94" s="5"/>
      <c r="C94" s="1" t="s">
        <v>104</v>
      </c>
      <c r="R94" s="8"/>
      <c r="U94" s="179" t="s">
        <v>105</v>
      </c>
    </row>
    <row r="95" spans="2:21" x14ac:dyDescent="0.3">
      <c r="B95" s="5"/>
      <c r="R95" s="8"/>
      <c r="U95" s="179" t="s">
        <v>106</v>
      </c>
    </row>
    <row r="96" spans="2:21" x14ac:dyDescent="0.3">
      <c r="B96" s="5"/>
      <c r="C96" s="1" t="s">
        <v>78</v>
      </c>
      <c r="H96" s="1" t="s">
        <v>89</v>
      </c>
      <c r="R96" s="8"/>
      <c r="U96" s="179" t="s">
        <v>107</v>
      </c>
    </row>
    <row r="97" spans="2:22" x14ac:dyDescent="0.3">
      <c r="B97" s="5"/>
      <c r="C97" s="55" t="s">
        <v>108</v>
      </c>
      <c r="D97" s="257"/>
      <c r="H97" s="55" t="s">
        <v>109</v>
      </c>
      <c r="R97" s="8"/>
      <c r="U97" s="179" t="s">
        <v>110</v>
      </c>
    </row>
    <row r="98" spans="2:22" x14ac:dyDescent="0.3">
      <c r="B98" s="5"/>
      <c r="E98" s="377"/>
      <c r="J98" s="255"/>
      <c r="R98" s="8"/>
      <c r="U98" s="179" t="s">
        <v>97</v>
      </c>
    </row>
    <row r="99" spans="2:22" x14ac:dyDescent="0.3">
      <c r="B99" s="5"/>
      <c r="C99" s="156" t="s">
        <v>111</v>
      </c>
      <c r="D99" s="24"/>
      <c r="E99" s="383"/>
      <c r="G99" s="263">
        <v>1</v>
      </c>
      <c r="H99" s="156" t="s">
        <v>112</v>
      </c>
      <c r="I99" s="24"/>
      <c r="J99" s="384"/>
      <c r="L99" s="263">
        <v>5</v>
      </c>
      <c r="R99" s="8"/>
    </row>
    <row r="100" spans="2:22" x14ac:dyDescent="0.3">
      <c r="B100" s="5"/>
      <c r="E100" s="377"/>
      <c r="J100" s="255"/>
      <c r="R100" s="8"/>
    </row>
    <row r="101" spans="2:22" x14ac:dyDescent="0.3">
      <c r="B101" s="5"/>
      <c r="C101" s="9" t="s">
        <v>113</v>
      </c>
      <c r="D101" s="24"/>
      <c r="E101" s="382"/>
      <c r="G101" s="263">
        <v>2</v>
      </c>
      <c r="H101" s="483" t="s">
        <v>114</v>
      </c>
      <c r="I101" s="24"/>
      <c r="J101" s="385"/>
      <c r="L101" s="263">
        <v>6</v>
      </c>
      <c r="R101" s="8"/>
      <c r="U101" s="1" t="s">
        <v>115</v>
      </c>
    </row>
    <row r="102" spans="2:22" x14ac:dyDescent="0.3">
      <c r="B102" s="5"/>
      <c r="E102" s="377"/>
      <c r="J102" s="255"/>
      <c r="R102" s="8"/>
      <c r="U102" s="19" t="s">
        <v>116</v>
      </c>
      <c r="V102" s="1" t="s">
        <v>117</v>
      </c>
    </row>
    <row customHeight="1" ht="18.75" r="103" spans="2:22" x14ac:dyDescent="0.3">
      <c r="B103" s="5"/>
      <c r="C103" s="157" t="s">
        <v>118</v>
      </c>
      <c r="D103" s="28"/>
      <c r="E103" s="381"/>
      <c r="G103" s="263">
        <v>3</v>
      </c>
      <c r="H103" s="157" t="s">
        <v>119</v>
      </c>
      <c r="I103" s="28"/>
      <c r="J103" s="383"/>
      <c r="L103" s="263">
        <v>7</v>
      </c>
      <c r="Q103" s="28"/>
      <c r="R103" s="30"/>
      <c r="V103" s="1" t="s">
        <v>120</v>
      </c>
    </row>
    <row r="104" spans="2:22" x14ac:dyDescent="0.3">
      <c r="B104" s="5"/>
      <c r="E104" s="377"/>
      <c r="J104" s="255"/>
      <c r="R104" s="30"/>
    </row>
    <row customHeight="1" ht="19.5" r="105" spans="2:22" x14ac:dyDescent="0.3">
      <c r="B105" s="5"/>
      <c r="C105" s="32" t="s">
        <v>121</v>
      </c>
      <c r="E105" s="382"/>
      <c r="G105" s="263">
        <v>4</v>
      </c>
      <c r="H105" s="157" t="s">
        <v>122</v>
      </c>
      <c r="I105" s="29"/>
      <c r="J105" s="381"/>
      <c r="L105" s="263">
        <v>8</v>
      </c>
      <c r="N105" s="373" t="s">
        <v>123</v>
      </c>
      <c r="P105" s="393"/>
      <c r="Q105" s="28"/>
      <c r="R105" s="264">
        <v>10</v>
      </c>
      <c r="U105" s="1" t="s">
        <v>124</v>
      </c>
      <c r="V105" s="1" t="s">
        <v>125</v>
      </c>
    </row>
    <row customHeight="1" ht="19.5" r="106" spans="2:22" x14ac:dyDescent="0.3">
      <c r="B106" s="5"/>
      <c r="J106" s="377"/>
      <c r="P106" s="28"/>
      <c r="Q106" s="28"/>
      <c r="R106" s="30"/>
    </row>
    <row customHeight="1" ht="19.5" r="107" spans="2:22" x14ac:dyDescent="0.3">
      <c r="B107" s="5"/>
      <c r="C107" s="24"/>
      <c r="D107" s="24"/>
      <c r="E107" s="266"/>
      <c r="G107" s="263"/>
      <c r="H107" s="487" t="s">
        <v>126</v>
      </c>
      <c r="I107" s="29"/>
      <c r="J107" s="393"/>
      <c r="L107" s="263">
        <v>9</v>
      </c>
      <c r="N107" s="27" t="s">
        <v>127</v>
      </c>
      <c r="P107" s="393"/>
      <c r="Q107" s="28"/>
      <c r="R107" s="264">
        <v>11</v>
      </c>
    </row>
    <row customHeight="1" ht="19.5" r="108" spans="2:22" x14ac:dyDescent="0.3">
      <c r="B108" s="5"/>
      <c r="D108" s="258"/>
      <c r="J108" s="28"/>
      <c r="K108" s="28"/>
      <c r="P108" s="28"/>
      <c r="Q108" s="28"/>
      <c r="R108" s="30"/>
    </row>
    <row customHeight="1" ht="19.5" r="109" spans="2:22" x14ac:dyDescent="0.3">
      <c r="B109" s="5"/>
      <c r="C109" s="1" t="s">
        <v>128</v>
      </c>
      <c r="P109" s="28"/>
      <c r="Q109" s="28"/>
      <c r="R109" s="30"/>
    </row>
    <row customHeight="1" ht="16.5" r="110" spans="2:22" x14ac:dyDescent="0.3">
      <c r="B110" s="5"/>
      <c r="P110" s="28"/>
      <c r="Q110" s="28"/>
      <c r="R110" s="30"/>
    </row>
    <row customHeight="1" ht="16.5" r="111" spans="2:22" x14ac:dyDescent="0.3">
      <c r="B111" s="5"/>
      <c r="C111" s="1" t="s">
        <v>129</v>
      </c>
      <c r="E111" s="1" t="str">
        <f>+IF(E65="Desiguales","(acorde Sección 2, repetir C.3 para cada  tramo diferente)","(igual a Sección 3)")</f>
      </c>
      <c r="P111" s="28"/>
      <c r="Q111" s="28"/>
      <c r="R111" s="30"/>
    </row>
    <row customHeight="1" ht="16.5" r="112" spans="2:22" x14ac:dyDescent="0.3">
      <c r="B112" s="10"/>
      <c r="C112" s="11"/>
      <c r="D112" s="11"/>
      <c r="E112" s="11"/>
      <c r="F112" s="11"/>
      <c r="G112" s="11"/>
      <c r="H112" s="11"/>
      <c r="I112" s="11"/>
      <c r="J112" s="11"/>
      <c r="K112" s="11"/>
      <c r="L112" s="11"/>
      <c r="M112" s="11"/>
      <c r="N112" s="11"/>
      <c r="O112" s="11"/>
      <c r="P112" s="11"/>
      <c r="Q112" s="11"/>
      <c r="R112" s="12"/>
    </row>
    <row customHeight="1" ht="16.5" r="113" spans="2:18" x14ac:dyDescent="0.3"/>
    <row customHeight="1" ht="16.5" r="114" spans="2:18" x14ac:dyDescent="0.3"/>
    <row customHeight="1" ht="16.5" r="115" spans="2:18" x14ac:dyDescent="0.3">
      <c r="C115" s="512" t="s">
        <v>130</v>
      </c>
      <c r="D115" s="513"/>
      <c r="E115" s="513"/>
      <c r="F115" s="513"/>
      <c r="G115" s="514"/>
      <c r="H115" s="31"/>
    </row>
    <row r="116" spans="2:18" x14ac:dyDescent="0.3">
      <c r="B116" s="13"/>
      <c r="C116" s="515"/>
      <c r="D116" s="516"/>
      <c r="E116" s="516"/>
      <c r="F116" s="516"/>
      <c r="G116" s="517"/>
      <c r="H116" s="26"/>
      <c r="I116" s="6"/>
      <c r="J116" s="6"/>
      <c r="K116" s="6"/>
      <c r="L116" s="6"/>
      <c r="M116" s="6"/>
      <c r="N116" s="6"/>
      <c r="O116" s="6"/>
      <c r="P116" s="6"/>
      <c r="Q116" s="6"/>
      <c r="R116" s="7"/>
    </row>
    <row r="117" spans="2:18" x14ac:dyDescent="0.3">
      <c r="B117" s="5"/>
      <c r="C117" s="271"/>
      <c r="D117" s="271"/>
      <c r="E117" s="271"/>
      <c r="F117" s="271"/>
      <c r="G117" s="271"/>
      <c r="R117" s="8"/>
    </row>
    <row r="118" spans="2:18" x14ac:dyDescent="0.3">
      <c r="B118" s="5"/>
      <c r="C118" s="1" t="s">
        <v>131</v>
      </c>
      <c r="D118" s="271"/>
      <c r="E118" s="271"/>
      <c r="F118" s="271"/>
      <c r="G118" s="271"/>
      <c r="R118" s="8"/>
    </row>
    <row r="119" spans="2:18" x14ac:dyDescent="0.3">
      <c r="B119" s="5"/>
      <c r="C119" s="1" t="s">
        <v>78</v>
      </c>
      <c r="J119" s="521" t="s">
        <v>132</v>
      </c>
      <c r="K119" s="523"/>
      <c r="L119" s="24"/>
      <c r="M119" s="24"/>
      <c r="N119" s="521" t="s">
        <v>133</v>
      </c>
      <c r="O119" s="523"/>
      <c r="P119" s="24"/>
      <c r="Q119" s="38"/>
      <c r="R119" s="8"/>
    </row>
    <row r="120" spans="2:18" x14ac:dyDescent="0.3">
      <c r="B120" s="5"/>
      <c r="J120" s="38"/>
      <c r="K120" s="38"/>
      <c r="L120" s="38"/>
      <c r="M120" s="24"/>
      <c r="N120" s="38"/>
      <c r="O120" s="38"/>
      <c r="P120" s="38"/>
      <c r="Q120" s="38"/>
      <c r="R120" s="8"/>
    </row>
    <row r="121" spans="2:18" x14ac:dyDescent="0.3">
      <c r="B121" s="5"/>
      <c r="C121" s="547" t="s">
        <v>134</v>
      </c>
      <c r="D121" s="548"/>
      <c r="E121" s="549"/>
      <c r="H121" s="156" t="s">
        <v>112</v>
      </c>
      <c r="J121" s="265"/>
      <c r="K121" s="154"/>
      <c r="L121" s="263">
        <v>1</v>
      </c>
      <c r="N121" s="265"/>
      <c r="O121" s="154"/>
      <c r="P121" s="263">
        <v>1</v>
      </c>
      <c r="Q121" s="154"/>
      <c r="R121" s="8"/>
    </row>
    <row r="122" spans="2:18" x14ac:dyDescent="0.3">
      <c r="B122" s="5"/>
      <c r="R122" s="8"/>
    </row>
    <row r="123" spans="2:18" x14ac:dyDescent="0.3">
      <c r="B123" s="5"/>
      <c r="H123" s="156" t="s">
        <v>111</v>
      </c>
      <c r="J123" s="281"/>
      <c r="K123" s="154"/>
      <c r="L123" s="263">
        <v>2</v>
      </c>
      <c r="N123" s="281"/>
      <c r="O123" s="154"/>
      <c r="P123" s="263">
        <v>2</v>
      </c>
      <c r="Q123" s="154"/>
      <c r="R123" s="8"/>
    </row>
    <row r="124" spans="2:18" x14ac:dyDescent="0.3">
      <c r="B124" s="5"/>
      <c r="R124" s="8"/>
    </row>
    <row r="125" spans="2:18" x14ac:dyDescent="0.3">
      <c r="B125" s="5"/>
      <c r="C125" s="547" t="s">
        <v>135</v>
      </c>
      <c r="D125" s="548"/>
      <c r="E125" s="549"/>
      <c r="H125" s="156" t="s">
        <v>112</v>
      </c>
      <c r="J125" s="265"/>
      <c r="K125" s="154"/>
      <c r="L125" s="263">
        <v>3</v>
      </c>
      <c r="N125" s="265"/>
      <c r="O125" s="154"/>
      <c r="P125" s="263">
        <v>3</v>
      </c>
      <c r="Q125" s="154"/>
      <c r="R125" s="8"/>
    </row>
    <row r="126" spans="2:18" x14ac:dyDescent="0.3">
      <c r="B126" s="5"/>
      <c r="R126" s="8"/>
    </row>
    <row r="127" spans="2:18" x14ac:dyDescent="0.3">
      <c r="B127" s="5"/>
      <c r="H127" s="156" t="s">
        <v>111</v>
      </c>
      <c r="J127" s="281"/>
      <c r="K127" s="154"/>
      <c r="L127" s="263">
        <v>4</v>
      </c>
      <c r="N127" s="281"/>
      <c r="O127" s="154"/>
      <c r="P127" s="263">
        <v>4</v>
      </c>
      <c r="Q127" s="154"/>
      <c r="R127" s="8"/>
    </row>
    <row r="128" spans="2:18" x14ac:dyDescent="0.3">
      <c r="B128" s="5"/>
      <c r="H128" s="24"/>
      <c r="J128" s="272"/>
      <c r="K128" s="154"/>
      <c r="L128" s="263"/>
      <c r="N128" s="272"/>
      <c r="O128" s="154"/>
      <c r="P128" s="263"/>
      <c r="Q128" s="154"/>
      <c r="R128" s="8"/>
    </row>
    <row r="129" spans="2:18" x14ac:dyDescent="0.3">
      <c r="B129" s="5"/>
      <c r="C129" s="1" t="s">
        <v>136</v>
      </c>
      <c r="H129" s="24"/>
      <c r="J129" s="272"/>
      <c r="K129" s="154"/>
      <c r="L129" s="263"/>
      <c r="N129" s="272"/>
      <c r="O129" s="154"/>
      <c r="P129" s="263"/>
      <c r="Q129" s="154"/>
      <c r="R129" s="8"/>
    </row>
    <row r="130" spans="2:18" x14ac:dyDescent="0.3">
      <c r="B130" s="10"/>
      <c r="C130" s="11"/>
      <c r="D130" s="11"/>
      <c r="E130" s="11"/>
      <c r="F130" s="11"/>
      <c r="G130" s="11"/>
      <c r="H130" s="11"/>
      <c r="I130" s="11"/>
      <c r="J130" s="11"/>
      <c r="K130" s="11"/>
      <c r="L130" s="11"/>
      <c r="M130" s="11"/>
      <c r="N130" s="11"/>
      <c r="O130" s="11"/>
      <c r="P130" s="11"/>
      <c r="Q130" s="11"/>
      <c r="R130" s="12"/>
    </row>
    <row hidden="1" outlineLevel="1" r="132" spans="2:18" x14ac:dyDescent="0.3">
      <c r="C132" s="33" t="s">
        <v>137</v>
      </c>
      <c r="D132" s="119"/>
      <c r="E132" s="521" t="s">
        <v>138</v>
      </c>
      <c r="F132" s="522"/>
      <c r="G132" s="522"/>
      <c r="H132" s="522"/>
      <c r="I132" s="522"/>
      <c r="J132" s="522"/>
      <c r="K132" s="522"/>
      <c r="L132" s="522"/>
      <c r="M132" s="522"/>
      <c r="N132" s="522"/>
      <c r="O132" s="522"/>
      <c r="P132" s="522"/>
      <c r="Q132" s="522"/>
      <c r="R132" s="523"/>
    </row>
    <row hidden="1" outlineLevel="1" r="133" spans="2:18" x14ac:dyDescent="0.3"/>
    <row hidden="1" outlineLevel="1" r="134" spans="2:18" x14ac:dyDescent="0.3">
      <c r="C134" s="19" t="s">
        <v>139</v>
      </c>
      <c r="D134" s="19"/>
      <c r="E134" s="34" t="s">
        <v>77</v>
      </c>
      <c r="F134" s="34"/>
      <c r="G134" s="34"/>
      <c r="H134" s="34" t="s">
        <v>92</v>
      </c>
      <c r="I134" s="34"/>
      <c r="J134" s="34"/>
      <c r="K134" s="34"/>
      <c r="L134" s="34" t="s">
        <v>99</v>
      </c>
      <c r="M134" s="34"/>
      <c r="N134" s="34"/>
      <c r="O134" s="34"/>
      <c r="P134" s="34" t="s">
        <v>103</v>
      </c>
      <c r="Q134" s="34"/>
      <c r="R134" s="35"/>
    </row>
    <row hidden="1" outlineLevel="1" r="135" spans="2:18" x14ac:dyDescent="0.3">
      <c r="C135" s="19" t="s">
        <v>140</v>
      </c>
      <c r="D135" s="19"/>
      <c r="E135" s="19" t="s">
        <v>141</v>
      </c>
      <c r="F135" s="19"/>
      <c r="G135" s="19"/>
      <c r="H135" s="19" t="s">
        <v>142</v>
      </c>
      <c r="I135" s="19"/>
      <c r="J135" s="19"/>
      <c r="K135" s="19"/>
      <c r="L135" s="19" t="s">
        <v>143</v>
      </c>
      <c r="M135" s="19"/>
      <c r="N135" s="19"/>
      <c r="O135" s="19"/>
      <c r="P135" s="19" t="s">
        <v>144</v>
      </c>
      <c r="Q135" s="19"/>
      <c r="R135" s="36"/>
    </row>
    <row hidden="1" outlineLevel="1" r="136" spans="2:18" x14ac:dyDescent="0.3">
      <c r="C136" s="19"/>
      <c r="D136" s="19"/>
      <c r="E136" s="19" t="s">
        <v>145</v>
      </c>
      <c r="F136" s="19"/>
      <c r="G136" s="19"/>
      <c r="H136" s="19" t="s">
        <v>146</v>
      </c>
      <c r="I136" s="19"/>
      <c r="J136" s="19"/>
      <c r="K136" s="19"/>
      <c r="L136" s="19" t="s">
        <v>147</v>
      </c>
      <c r="M136" s="19"/>
      <c r="N136" s="19"/>
      <c r="O136" s="19"/>
      <c r="P136" s="19" t="s">
        <v>148</v>
      </c>
      <c r="Q136" s="19"/>
      <c r="R136" s="36"/>
    </row>
    <row hidden="1" outlineLevel="1" r="137" spans="2:18" x14ac:dyDescent="0.3">
      <c r="C137" s="34" t="s">
        <v>77</v>
      </c>
      <c r="D137" s="34"/>
      <c r="E137" s="19" t="s">
        <v>149</v>
      </c>
      <c r="F137" s="19"/>
      <c r="G137" s="19"/>
      <c r="H137" s="19" t="s">
        <v>150</v>
      </c>
      <c r="I137" s="19"/>
      <c r="J137" s="19"/>
      <c r="K137" s="19"/>
      <c r="L137" s="19" t="s">
        <v>151</v>
      </c>
      <c r="M137" s="19"/>
      <c r="N137" s="19"/>
      <c r="O137" s="19"/>
      <c r="P137" s="19" t="s">
        <v>152</v>
      </c>
      <c r="Q137" s="19"/>
      <c r="R137" s="36"/>
    </row>
    <row hidden="1" outlineLevel="1" r="138" spans="2:18" x14ac:dyDescent="0.3">
      <c r="C138" s="34" t="s">
        <v>92</v>
      </c>
      <c r="D138" s="34"/>
      <c r="E138" s="22" t="s">
        <v>151</v>
      </c>
      <c r="F138" s="22"/>
      <c r="G138" s="22"/>
      <c r="H138" s="22"/>
      <c r="I138" s="22"/>
      <c r="J138" s="22"/>
      <c r="K138" s="22"/>
      <c r="L138" s="22" t="s">
        <v>149</v>
      </c>
      <c r="M138" s="22"/>
      <c r="N138" s="22"/>
      <c r="O138" s="22"/>
      <c r="P138" s="19" t="s">
        <v>153</v>
      </c>
      <c r="Q138" s="19"/>
      <c r="R138" s="37"/>
    </row>
    <row hidden="1" outlineLevel="1" r="139" spans="2:18" x14ac:dyDescent="0.3">
      <c r="C139" s="34" t="s">
        <v>99</v>
      </c>
      <c r="D139" s="34"/>
      <c r="E139" s="19" t="s">
        <v>154</v>
      </c>
      <c r="F139" s="19"/>
      <c r="G139" s="19"/>
      <c r="H139" s="19"/>
      <c r="I139" s="19"/>
      <c r="J139" s="19"/>
      <c r="K139" s="19"/>
      <c r="L139" s="19" t="s">
        <v>150</v>
      </c>
      <c r="M139" s="19"/>
      <c r="N139" s="19"/>
      <c r="O139" s="19"/>
      <c r="P139" s="19" t="s">
        <v>150</v>
      </c>
      <c r="Q139" s="19"/>
      <c r="R139" s="36"/>
    </row>
    <row hidden="1" outlineLevel="1" r="140" spans="2:18" x14ac:dyDescent="0.3">
      <c r="C140" s="34" t="s">
        <v>103</v>
      </c>
      <c r="D140" s="34"/>
      <c r="E140" s="19" t="s">
        <v>155</v>
      </c>
      <c r="F140" s="19"/>
      <c r="G140" s="19"/>
      <c r="H140" s="19"/>
      <c r="I140" s="19"/>
      <c r="J140" s="19"/>
      <c r="K140" s="19"/>
      <c r="L140" s="19"/>
      <c r="M140" s="19"/>
      <c r="N140" s="19"/>
      <c r="O140" s="19"/>
      <c r="P140" s="19"/>
      <c r="Q140" s="19"/>
      <c r="R140" s="36"/>
    </row>
    <row hidden="1" outlineLevel="1" r="141" spans="2:18" x14ac:dyDescent="0.3">
      <c r="C141" s="19"/>
      <c r="D141" s="19"/>
      <c r="E141" s="19" t="s">
        <v>156</v>
      </c>
      <c r="F141" s="19"/>
      <c r="G141" s="19"/>
      <c r="H141" s="19"/>
      <c r="I141" s="19"/>
      <c r="J141" s="19"/>
      <c r="K141" s="19"/>
      <c r="L141" s="19"/>
      <c r="M141" s="19"/>
      <c r="N141" s="19"/>
      <c r="O141" s="19"/>
      <c r="P141" s="19"/>
      <c r="Q141" s="19"/>
      <c r="R141" s="36"/>
    </row>
    <row hidden="1" outlineLevel="1" r="142" spans="2:18" x14ac:dyDescent="0.3"/>
    <row hidden="1" outlineLevel="1" r="143" spans="2:18" x14ac:dyDescent="0.3"/>
    <row hidden="1" outlineLevel="1" r="144" spans="2:18" x14ac:dyDescent="0.3">
      <c r="C144" s="33" t="s">
        <v>157</v>
      </c>
      <c r="D144" s="38"/>
      <c r="F144" s="521" t="s">
        <v>158</v>
      </c>
      <c r="G144" s="522"/>
      <c r="H144" s="523"/>
      <c r="J144" s="33" t="s">
        <v>159</v>
      </c>
      <c r="K144" s="38"/>
      <c r="M144" s="521" t="s">
        <v>160</v>
      </c>
      <c r="N144" s="522"/>
      <c r="O144" s="522"/>
      <c r="P144" s="523"/>
      <c r="Q144" s="38"/>
    </row>
    <row hidden="1" outlineLevel="1" r="145" spans="3:18" x14ac:dyDescent="0.3">
      <c r="C145" s="19" t="s">
        <v>161</v>
      </c>
      <c r="D145" s="19"/>
      <c r="E145" s="19"/>
      <c r="F145" s="19"/>
      <c r="G145" s="19" t="s">
        <v>162</v>
      </c>
      <c r="H145" s="19"/>
      <c r="I145" s="19"/>
      <c r="J145" s="19" t="s">
        <v>163</v>
      </c>
      <c r="K145" s="19"/>
      <c r="L145" s="19"/>
      <c r="M145" s="19"/>
      <c r="N145" s="19" t="s">
        <v>164</v>
      </c>
      <c r="O145" s="19"/>
      <c r="P145" s="36"/>
      <c r="Q145" s="36"/>
      <c r="R145" s="36"/>
    </row>
    <row hidden="1" outlineLevel="1" r="146" spans="3:18" x14ac:dyDescent="0.3">
      <c r="C146" s="19" t="s">
        <v>165</v>
      </c>
      <c r="D146" s="19"/>
      <c r="E146" s="19"/>
      <c r="F146" s="19"/>
      <c r="G146" s="19" t="s">
        <v>166</v>
      </c>
      <c r="H146" s="19"/>
      <c r="I146" s="19"/>
      <c r="J146" s="19" t="s">
        <v>166</v>
      </c>
      <c r="K146" s="19"/>
      <c r="L146" s="19"/>
      <c r="M146" s="19"/>
      <c r="N146" s="19" t="s">
        <v>167</v>
      </c>
      <c r="O146" s="19"/>
      <c r="P146" s="36"/>
      <c r="Q146" s="36"/>
      <c r="R146" s="36"/>
    </row>
    <row hidden="1" outlineLevel="1" r="147" spans="3:18" x14ac:dyDescent="0.3">
      <c r="C147" s="19" t="s">
        <v>168</v>
      </c>
      <c r="D147" s="19"/>
      <c r="E147" s="19"/>
      <c r="F147" s="19"/>
      <c r="G147" s="19" t="s">
        <v>169</v>
      </c>
      <c r="H147" s="19"/>
      <c r="I147" s="19"/>
      <c r="J147" s="19" t="s">
        <v>170</v>
      </c>
      <c r="K147" s="19"/>
      <c r="L147" s="19"/>
      <c r="M147" s="19"/>
      <c r="N147" s="19" t="s">
        <v>171</v>
      </c>
      <c r="O147" s="19"/>
      <c r="P147" s="36"/>
      <c r="Q147" s="36"/>
      <c r="R147" s="36"/>
    </row>
    <row hidden="1" outlineLevel="1" r="148" spans="3:18" x14ac:dyDescent="0.3">
      <c r="C148" s="19" t="s">
        <v>172</v>
      </c>
      <c r="D148" s="19"/>
      <c r="E148" s="19"/>
      <c r="F148" s="19"/>
      <c r="G148" s="19" t="s">
        <v>173</v>
      </c>
      <c r="H148" s="19"/>
      <c r="I148" s="19"/>
      <c r="J148" s="19" t="s">
        <v>174</v>
      </c>
      <c r="K148" s="19"/>
      <c r="L148" s="19"/>
      <c r="M148" s="19"/>
      <c r="N148" s="19" t="s">
        <v>174</v>
      </c>
      <c r="O148" s="19"/>
      <c r="P148" s="36"/>
      <c r="Q148" s="36"/>
      <c r="R148" s="36"/>
    </row>
    <row hidden="1" outlineLevel="1" r="149" spans="3:18" x14ac:dyDescent="0.3">
      <c r="C149" s="19" t="s">
        <v>175</v>
      </c>
      <c r="D149" s="19"/>
      <c r="E149" s="19"/>
      <c r="F149" s="19"/>
      <c r="G149" s="19" t="s">
        <v>176</v>
      </c>
      <c r="H149" s="19"/>
      <c r="I149" s="19"/>
      <c r="J149" s="19" t="s">
        <v>150</v>
      </c>
      <c r="K149" s="19"/>
      <c r="L149" s="19"/>
      <c r="M149" s="19"/>
      <c r="N149" s="19" t="s">
        <v>177</v>
      </c>
      <c r="O149" s="19"/>
      <c r="P149" s="36"/>
      <c r="Q149" s="36"/>
      <c r="R149" s="36"/>
    </row>
    <row hidden="1" outlineLevel="1" r="150" spans="3:18" x14ac:dyDescent="0.3">
      <c r="C150" s="19" t="s">
        <v>178</v>
      </c>
      <c r="D150" s="19"/>
      <c r="E150" s="19"/>
      <c r="F150" s="19"/>
      <c r="G150" s="19" t="s">
        <v>174</v>
      </c>
      <c r="H150" s="19"/>
      <c r="I150" s="19"/>
      <c r="J150" s="19"/>
      <c r="K150" s="19"/>
      <c r="L150" s="19"/>
      <c r="M150" s="19"/>
      <c r="N150" s="19"/>
      <c r="O150" s="19"/>
      <c r="P150" s="36"/>
      <c r="Q150" s="36"/>
      <c r="R150" s="36"/>
    </row>
    <row hidden="1" outlineLevel="1" r="151" spans="3:18" x14ac:dyDescent="0.3">
      <c r="C151" s="19" t="s">
        <v>150</v>
      </c>
      <c r="D151" s="19"/>
      <c r="E151" s="19"/>
      <c r="F151" s="19"/>
      <c r="G151" s="19" t="s">
        <v>150</v>
      </c>
      <c r="H151" s="19"/>
      <c r="I151" s="19"/>
      <c r="J151" s="19"/>
      <c r="K151" s="19"/>
      <c r="L151" s="19"/>
      <c r="M151" s="19"/>
      <c r="N151" s="19"/>
      <c r="O151" s="19"/>
      <c r="P151" s="36"/>
      <c r="Q151" s="36"/>
      <c r="R151" s="36"/>
    </row>
    <row hidden="1" outlineLevel="1" r="152" spans="3:18" x14ac:dyDescent="0.3">
      <c r="C152" s="36"/>
      <c r="D152" s="36"/>
      <c r="E152" s="36"/>
      <c r="F152" s="36"/>
      <c r="G152" s="36"/>
      <c r="H152" s="36"/>
      <c r="I152" s="36"/>
      <c r="J152" s="36"/>
      <c r="K152" s="36"/>
      <c r="L152" s="36"/>
      <c r="M152" s="36"/>
      <c r="N152" s="36"/>
      <c r="O152" s="36"/>
      <c r="P152" s="36"/>
      <c r="Q152" s="36"/>
      <c r="R152" s="36"/>
    </row>
    <row hidden="1" outlineLevel="1" r="153" spans="3:18" x14ac:dyDescent="0.3">
      <c r="E153" s="33" t="s">
        <v>179</v>
      </c>
      <c r="H153" s="33" t="s">
        <v>180</v>
      </c>
      <c r="L153" s="33" t="s">
        <v>181</v>
      </c>
    </row>
    <row hidden="1" outlineLevel="1" r="154" spans="3:18" x14ac:dyDescent="0.3">
      <c r="E154" s="19" t="s">
        <v>182</v>
      </c>
      <c r="F154" s="19"/>
      <c r="G154" s="19"/>
      <c r="H154" s="19" t="s">
        <v>163</v>
      </c>
      <c r="I154" s="19"/>
      <c r="J154" s="19"/>
      <c r="K154" s="19"/>
      <c r="L154" s="19" t="s">
        <v>183</v>
      </c>
    </row>
    <row hidden="1" outlineLevel="1" r="155" spans="3:18" x14ac:dyDescent="0.3">
      <c r="E155" s="19" t="s">
        <v>184</v>
      </c>
      <c r="F155" s="19"/>
      <c r="G155" s="19"/>
      <c r="H155" s="19" t="s">
        <v>166</v>
      </c>
      <c r="I155" s="19"/>
      <c r="J155" s="19"/>
      <c r="K155" s="19"/>
      <c r="L155" s="19" t="s">
        <v>185</v>
      </c>
    </row>
    <row hidden="1" outlineLevel="1" r="156" spans="3:18" x14ac:dyDescent="0.3">
      <c r="E156" s="19" t="s">
        <v>186</v>
      </c>
      <c r="F156" s="19"/>
      <c r="G156" s="19"/>
      <c r="H156" s="19" t="s">
        <v>187</v>
      </c>
      <c r="I156" s="19"/>
      <c r="J156" s="19"/>
      <c r="K156" s="19"/>
      <c r="L156" s="19" t="s">
        <v>188</v>
      </c>
    </row>
    <row hidden="1" outlineLevel="1" r="157" spans="3:18" x14ac:dyDescent="0.3">
      <c r="E157" s="19" t="s">
        <v>150</v>
      </c>
      <c r="F157" s="19"/>
      <c r="G157" s="19"/>
      <c r="H157" s="19" t="s">
        <v>174</v>
      </c>
      <c r="I157" s="19"/>
      <c r="J157" s="19"/>
      <c r="K157" s="19"/>
      <c r="L157" s="19" t="s">
        <v>189</v>
      </c>
    </row>
    <row hidden="1" outlineLevel="1" r="158" spans="3:18" x14ac:dyDescent="0.3">
      <c r="E158" s="19"/>
      <c r="F158" s="19"/>
      <c r="G158" s="19"/>
      <c r="H158" s="19" t="s">
        <v>150</v>
      </c>
      <c r="I158" s="19"/>
      <c r="J158" s="19"/>
      <c r="K158" s="19"/>
      <c r="L158" s="19"/>
    </row>
    <row hidden="1" outlineLevel="1" r="159" spans="3:18" x14ac:dyDescent="0.3"/>
    <row hidden="1" outlineLevel="1" r="160" spans="3:18" x14ac:dyDescent="0.3"/>
    <row hidden="1" outlineLevel="1" r="161" spans="1:18" x14ac:dyDescent="0.3">
      <c r="C161" s="33" t="s">
        <v>190</v>
      </c>
      <c r="D161" s="38"/>
      <c r="F161" s="521" t="s">
        <v>191</v>
      </c>
      <c r="G161" s="522"/>
      <c r="H161" s="523"/>
      <c r="J161" s="521" t="s">
        <v>192</v>
      </c>
      <c r="K161" s="522"/>
      <c r="L161" s="523"/>
      <c r="N161" s="521" t="s">
        <v>193</v>
      </c>
      <c r="O161" s="522"/>
      <c r="P161" s="523"/>
      <c r="Q161" s="38"/>
    </row>
    <row hidden="1" outlineLevel="1" r="162" spans="1:18" x14ac:dyDescent="0.3">
      <c r="C162" s="19" t="s">
        <v>194</v>
      </c>
      <c r="D162" s="19"/>
      <c r="E162" s="19"/>
      <c r="F162" s="19"/>
      <c r="G162" s="19" t="s">
        <v>195</v>
      </c>
      <c r="H162" s="19"/>
      <c r="I162" s="19"/>
      <c r="J162" s="19" t="s">
        <v>196</v>
      </c>
      <c r="K162" s="19"/>
      <c r="L162" s="19"/>
      <c r="M162" s="19"/>
      <c r="N162" s="19" t="s">
        <v>195</v>
      </c>
      <c r="O162" s="19"/>
      <c r="P162" s="19"/>
      <c r="Q162" s="19"/>
    </row>
    <row hidden="1" outlineLevel="1" r="163" spans="1:18" x14ac:dyDescent="0.3">
      <c r="C163" s="19" t="s">
        <v>197</v>
      </c>
      <c r="D163" s="19"/>
      <c r="E163" s="19"/>
      <c r="F163" s="19"/>
      <c r="G163" s="19" t="s">
        <v>163</v>
      </c>
      <c r="H163" s="19"/>
      <c r="I163" s="19"/>
      <c r="J163" s="19" t="s">
        <v>198</v>
      </c>
      <c r="K163" s="19"/>
      <c r="L163" s="19"/>
      <c r="M163" s="19"/>
      <c r="N163" s="19" t="s">
        <v>163</v>
      </c>
      <c r="O163" s="19"/>
      <c r="P163" s="19"/>
      <c r="Q163" s="19"/>
    </row>
    <row hidden="1" outlineLevel="1" r="164" spans="1:18" x14ac:dyDescent="0.3">
      <c r="C164" s="19" t="s">
        <v>149</v>
      </c>
      <c r="D164" s="19"/>
      <c r="E164" s="19"/>
      <c r="F164" s="19"/>
      <c r="G164" s="19" t="s">
        <v>199</v>
      </c>
      <c r="H164" s="19"/>
      <c r="I164" s="19"/>
      <c r="J164" s="19" t="s">
        <v>200</v>
      </c>
      <c r="K164" s="19"/>
      <c r="L164" s="19"/>
      <c r="M164" s="19"/>
      <c r="N164" s="19" t="s">
        <v>201</v>
      </c>
      <c r="O164" s="19"/>
      <c r="P164" s="19"/>
      <c r="Q164" s="19"/>
    </row>
    <row hidden="1" outlineLevel="1" r="165" spans="1:18" x14ac:dyDescent="0.3">
      <c r="C165" s="19" t="s">
        <v>202</v>
      </c>
      <c r="D165" s="19"/>
      <c r="E165" s="19"/>
      <c r="F165" s="19"/>
      <c r="G165" s="19" t="s">
        <v>174</v>
      </c>
      <c r="H165" s="19"/>
      <c r="I165" s="19"/>
      <c r="J165" s="19" t="s">
        <v>150</v>
      </c>
      <c r="K165" s="19"/>
      <c r="L165" s="19"/>
      <c r="M165" s="19"/>
      <c r="N165" s="19" t="s">
        <v>174</v>
      </c>
      <c r="O165" s="19"/>
      <c r="P165" s="19"/>
      <c r="Q165" s="19"/>
    </row>
    <row hidden="1" outlineLevel="1" r="166" spans="1:18" x14ac:dyDescent="0.3">
      <c r="C166" s="19" t="s">
        <v>150</v>
      </c>
      <c r="D166" s="19"/>
      <c r="E166" s="19"/>
      <c r="F166" s="19"/>
      <c r="G166" s="19"/>
      <c r="H166" s="19"/>
      <c r="I166" s="19"/>
      <c r="J166" s="19"/>
      <c r="K166" s="19"/>
      <c r="L166" s="19"/>
      <c r="M166" s="19"/>
      <c r="N166" s="19" t="s">
        <v>150</v>
      </c>
      <c r="O166" s="19"/>
      <c r="P166" s="19"/>
      <c r="Q166" s="19"/>
    </row>
    <row hidden="1" outlineLevel="1" r="167" spans="1:18" x14ac:dyDescent="0.3">
      <c r="C167" s="1" t="s">
        <v>203</v>
      </c>
    </row>
    <row collapsed="1" r="168" spans="1:18" x14ac:dyDescent="0.3"/>
    <row r="169" spans="1:18" x14ac:dyDescent="0.3">
      <c r="C169" s="553" t="s">
        <v>204</v>
      </c>
      <c r="D169" s="554"/>
      <c r="E169" s="554"/>
      <c r="F169" s="554"/>
      <c r="G169" s="555"/>
      <c r="H169" s="25"/>
      <c r="I169" s="11"/>
      <c r="J169" s="11"/>
      <c r="K169" s="11"/>
      <c r="L169" s="11"/>
      <c r="M169" s="11"/>
      <c r="N169" s="11"/>
      <c r="O169" s="11"/>
      <c r="P169" s="11"/>
      <c r="Q169" s="11"/>
      <c r="R169" s="11"/>
    </row>
    <row r="170" spans="1:18" x14ac:dyDescent="0.3">
      <c r="A170" s="8"/>
      <c r="B170" s="39"/>
      <c r="C170" s="556"/>
      <c r="D170" s="557"/>
      <c r="E170" s="557"/>
      <c r="F170" s="557"/>
      <c r="G170" s="558"/>
      <c r="H170" s="31"/>
      <c r="R170" s="7"/>
    </row>
    <row r="171" spans="1:18" x14ac:dyDescent="0.3">
      <c r="A171" s="8"/>
      <c r="R171" s="8"/>
    </row>
    <row r="172" spans="1:18" x14ac:dyDescent="0.3">
      <c r="A172" s="8"/>
      <c r="C172" s="1" t="s">
        <v>89</v>
      </c>
      <c r="R172" s="8"/>
    </row>
    <row r="173" spans="1:18" x14ac:dyDescent="0.3">
      <c r="A173" s="8"/>
      <c r="R173" s="8"/>
    </row>
    <row r="174" spans="1:18" x14ac:dyDescent="0.3">
      <c r="A174" s="8"/>
      <c r="C174" s="54" t="s">
        <v>134</v>
      </c>
      <c r="D174" s="254"/>
      <c r="E174" s="1" t="s">
        <v>205</v>
      </c>
      <c r="G174" s="33" t="s">
        <v>206</v>
      </c>
      <c r="J174" s="33" t="s">
        <v>207</v>
      </c>
      <c r="K174" s="38"/>
      <c r="N174" s="33" t="s">
        <v>208</v>
      </c>
      <c r="O174" s="38"/>
      <c r="R174" s="8"/>
    </row>
    <row customHeight="1" ht="10.5" r="175" spans="1:18" x14ac:dyDescent="0.3">
      <c r="A175" s="8"/>
      <c r="R175" s="8"/>
    </row>
    <row r="176" spans="1:18" x14ac:dyDescent="0.3">
      <c r="B176" s="41"/>
      <c r="C176" s="158" t="s">
        <v>112</v>
      </c>
      <c r="D176" s="38"/>
      <c r="G176" s="32"/>
      <c r="H176" s="263">
        <v>5</v>
      </c>
      <c r="J176" s="32"/>
      <c r="L176" s="263">
        <v>5</v>
      </c>
      <c r="N176" s="32"/>
      <c r="P176" s="263">
        <v>5</v>
      </c>
      <c r="R176" s="8"/>
    </row>
    <row customHeight="1" ht="9" r="177" spans="1:18" x14ac:dyDescent="0.3">
      <c r="A177" s="8"/>
      <c r="R177" s="8"/>
    </row>
    <row r="178" spans="1:18" x14ac:dyDescent="0.3">
      <c r="A178" s="8"/>
      <c r="C178" s="158" t="s">
        <v>111</v>
      </c>
      <c r="D178" s="38"/>
      <c r="G178" s="32"/>
      <c r="H178" s="263">
        <v>6</v>
      </c>
      <c r="J178" s="32"/>
      <c r="L178" s="263">
        <v>6</v>
      </c>
      <c r="N178" s="32"/>
      <c r="P178" s="263">
        <v>6</v>
      </c>
      <c r="R178" s="8"/>
    </row>
    <row r="179" spans="1:18" x14ac:dyDescent="0.3">
      <c r="B179" s="5"/>
      <c r="R179" s="8"/>
    </row>
    <row r="180" spans="1:18" x14ac:dyDescent="0.3">
      <c r="A180" s="8"/>
      <c r="C180" s="54" t="s">
        <v>209</v>
      </c>
      <c r="D180" s="254"/>
      <c r="E180" s="1" t="s">
        <v>205</v>
      </c>
      <c r="R180" s="8"/>
    </row>
    <row customHeight="1" ht="9" r="181" spans="1:18" x14ac:dyDescent="0.3">
      <c r="A181" s="8"/>
      <c r="R181" s="8"/>
    </row>
    <row r="182" spans="1:18" x14ac:dyDescent="0.3">
      <c r="A182" s="8"/>
      <c r="C182" s="158" t="s">
        <v>112</v>
      </c>
      <c r="D182" s="38"/>
      <c r="G182" s="32"/>
      <c r="H182" s="263">
        <v>7</v>
      </c>
      <c r="J182" s="32"/>
      <c r="L182" s="263">
        <v>7</v>
      </c>
      <c r="N182" s="32"/>
      <c r="P182" s="263">
        <v>7</v>
      </c>
      <c r="R182" s="8"/>
    </row>
    <row customHeight="1" ht="7.5" r="183" spans="1:18" x14ac:dyDescent="0.3">
      <c r="A183" s="8"/>
      <c r="R183" s="8"/>
    </row>
    <row r="184" spans="1:18" x14ac:dyDescent="0.3">
      <c r="A184" s="8"/>
      <c r="C184" s="158" t="s">
        <v>111</v>
      </c>
      <c r="D184" s="38"/>
      <c r="G184" s="32"/>
      <c r="H184" s="263">
        <v>8</v>
      </c>
      <c r="J184" s="32"/>
      <c r="L184" s="263">
        <v>8</v>
      </c>
      <c r="N184" s="32"/>
      <c r="P184" s="263">
        <v>8</v>
      </c>
      <c r="R184" s="8"/>
    </row>
    <row r="185" spans="1:18" x14ac:dyDescent="0.3">
      <c r="A185" s="8"/>
      <c r="R185" s="8"/>
    </row>
    <row r="186" spans="1:18" x14ac:dyDescent="0.3">
      <c r="A186" s="8"/>
      <c r="C186" s="1" t="s">
        <v>93</v>
      </c>
      <c r="R186" s="8"/>
    </row>
    <row r="187" spans="1:18" x14ac:dyDescent="0.3">
      <c r="A187" s="8"/>
      <c r="R187" s="8"/>
    </row>
    <row customHeight="1" ht="33" r="188" spans="1:18" x14ac:dyDescent="0.3">
      <c r="A188" s="8"/>
      <c r="C188" s="547" t="s">
        <v>210</v>
      </c>
      <c r="D188" s="548"/>
      <c r="E188" s="549"/>
      <c r="R188" s="8"/>
    </row>
    <row r="189" spans="1:18" x14ac:dyDescent="0.3">
      <c r="A189" s="8"/>
      <c r="R189" s="8"/>
    </row>
    <row r="190" spans="1:18" x14ac:dyDescent="0.3">
      <c r="A190" s="8"/>
      <c r="C190" s="54" t="s">
        <v>134</v>
      </c>
      <c r="D190" s="254"/>
      <c r="E190" s="1" t="s">
        <v>205</v>
      </c>
      <c r="G190" s="33" t="s">
        <v>211</v>
      </c>
      <c r="L190" s="33" t="s">
        <v>212</v>
      </c>
      <c r="R190" s="8"/>
    </row>
    <row customHeight="1" ht="9.75" r="191" spans="1:18" x14ac:dyDescent="0.3">
      <c r="A191" s="8"/>
      <c r="R191" s="8"/>
    </row>
    <row r="192" spans="1:18" x14ac:dyDescent="0.3">
      <c r="A192" s="8"/>
      <c r="C192" s="158" t="s">
        <v>112</v>
      </c>
      <c r="D192" s="38"/>
      <c r="G192" s="32"/>
      <c r="H192" s="263">
        <v>9</v>
      </c>
      <c r="L192" s="32"/>
      <c r="N192" s="263">
        <v>9</v>
      </c>
      <c r="R192" s="8"/>
    </row>
    <row customHeight="1" ht="10.5" r="193" spans="1:19" x14ac:dyDescent="0.3">
      <c r="A193" s="8"/>
      <c r="R193" s="8"/>
    </row>
    <row r="194" spans="1:19" x14ac:dyDescent="0.3">
      <c r="A194" s="8"/>
      <c r="C194" s="158" t="s">
        <v>111</v>
      </c>
      <c r="D194" s="38"/>
      <c r="G194" s="32"/>
      <c r="H194" s="263">
        <v>10</v>
      </c>
      <c r="L194" s="32"/>
      <c r="N194" s="263">
        <v>10</v>
      </c>
      <c r="R194" s="8"/>
    </row>
    <row r="195" spans="1:19" x14ac:dyDescent="0.3">
      <c r="A195" s="8"/>
      <c r="R195" s="8"/>
    </row>
    <row r="196" spans="1:19" x14ac:dyDescent="0.3">
      <c r="A196" s="8"/>
      <c r="C196" s="54" t="s">
        <v>209</v>
      </c>
      <c r="D196" s="254"/>
      <c r="E196" s="1" t="s">
        <v>205</v>
      </c>
      <c r="R196" s="8"/>
    </row>
    <row r="197" spans="1:19" x14ac:dyDescent="0.3">
      <c r="A197" s="8"/>
      <c r="R197" s="8"/>
    </row>
    <row r="198" spans="1:19" x14ac:dyDescent="0.3">
      <c r="A198" s="8"/>
      <c r="C198" s="158" t="s">
        <v>112</v>
      </c>
      <c r="D198" s="38"/>
      <c r="G198" s="32"/>
      <c r="H198" s="263">
        <v>11</v>
      </c>
      <c r="L198" s="32"/>
      <c r="N198" s="263">
        <v>11</v>
      </c>
      <c r="R198" s="8"/>
    </row>
    <row r="199" spans="1:19" x14ac:dyDescent="0.3">
      <c r="A199" s="8"/>
      <c r="R199" s="8"/>
    </row>
    <row r="200" spans="1:19" x14ac:dyDescent="0.3">
      <c r="A200" s="8"/>
      <c r="C200" s="158" t="s">
        <v>111</v>
      </c>
      <c r="D200" s="38"/>
      <c r="G200" s="32"/>
      <c r="H200" s="263">
        <v>12</v>
      </c>
      <c r="L200" s="32"/>
      <c r="N200" s="263">
        <v>12</v>
      </c>
      <c r="R200" s="8"/>
    </row>
    <row r="201" spans="1:19" x14ac:dyDescent="0.3">
      <c r="A201" s="8"/>
      <c r="B201" s="11"/>
      <c r="C201" s="11"/>
      <c r="D201" s="11"/>
      <c r="E201" s="11"/>
      <c r="F201" s="11"/>
      <c r="G201" s="11"/>
      <c r="H201" s="11"/>
      <c r="I201" s="11"/>
      <c r="J201" s="11"/>
      <c r="K201" s="11"/>
      <c r="L201" s="11"/>
      <c r="M201" s="11"/>
      <c r="N201" s="11"/>
      <c r="O201" s="11"/>
      <c r="P201" s="11"/>
      <c r="Q201" s="11"/>
      <c r="R201" s="11"/>
      <c r="S201" s="5"/>
    </row>
    <row hidden="1" outlineLevel="1" r="203" spans="1:19" x14ac:dyDescent="0.3">
      <c r="G203" s="521" t="s">
        <v>213</v>
      </c>
      <c r="H203" s="522"/>
      <c r="I203" s="522"/>
      <c r="J203" s="522"/>
      <c r="K203" s="522"/>
      <c r="L203" s="523"/>
      <c r="R203" s="36"/>
    </row>
    <row hidden="1" outlineLevel="1" r="204" spans="1:19" x14ac:dyDescent="0.3"/>
    <row hidden="1" outlineLevel="1" r="205" spans="1:19" x14ac:dyDescent="0.3">
      <c r="C205" s="33" t="s">
        <v>190</v>
      </c>
      <c r="D205" s="38"/>
      <c r="F205" s="521" t="s">
        <v>214</v>
      </c>
      <c r="G205" s="522"/>
      <c r="H205" s="523"/>
      <c r="L205" s="17" t="s">
        <v>215</v>
      </c>
      <c r="M205" s="18"/>
      <c r="P205" s="550" t="s">
        <v>193</v>
      </c>
      <c r="Q205" s="551"/>
      <c r="R205" s="551"/>
      <c r="S205" s="31"/>
    </row>
    <row hidden="1" outlineLevel="1" r="206" spans="1:19" x14ac:dyDescent="0.3">
      <c r="C206" s="19" t="s">
        <v>216</v>
      </c>
      <c r="D206" s="19"/>
      <c r="E206" s="19"/>
      <c r="F206" s="19"/>
      <c r="G206" s="19" t="s">
        <v>195</v>
      </c>
      <c r="H206" s="19"/>
      <c r="I206" s="19"/>
      <c r="J206" s="19"/>
      <c r="K206" s="19"/>
      <c r="L206" s="19" t="s">
        <v>196</v>
      </c>
      <c r="M206" s="19"/>
      <c r="N206" s="19"/>
      <c r="O206" s="19"/>
      <c r="P206" s="20" t="s">
        <v>195</v>
      </c>
      <c r="Q206" s="20"/>
      <c r="R206" s="20"/>
    </row>
    <row hidden="1" outlineLevel="1" r="207" spans="1:19" x14ac:dyDescent="0.3">
      <c r="C207" s="19" t="s">
        <v>217</v>
      </c>
      <c r="D207" s="19"/>
      <c r="E207" s="19"/>
      <c r="F207" s="19"/>
      <c r="G207" s="19" t="s">
        <v>163</v>
      </c>
      <c r="H207" s="19"/>
      <c r="I207" s="19"/>
      <c r="J207" s="19"/>
      <c r="K207" s="19"/>
      <c r="L207" s="19" t="s">
        <v>198</v>
      </c>
      <c r="M207" s="19"/>
      <c r="N207" s="19"/>
      <c r="O207" s="19"/>
      <c r="P207" s="19" t="s">
        <v>163</v>
      </c>
      <c r="Q207" s="19"/>
      <c r="R207" s="19"/>
    </row>
    <row hidden="1" outlineLevel="1" r="208" spans="1:19" x14ac:dyDescent="0.3">
      <c r="C208" s="19" t="s">
        <v>149</v>
      </c>
      <c r="D208" s="19"/>
      <c r="E208" s="19"/>
      <c r="F208" s="19"/>
      <c r="G208" s="19" t="s">
        <v>201</v>
      </c>
      <c r="H208" s="19"/>
      <c r="I208" s="19"/>
      <c r="J208" s="19"/>
      <c r="K208" s="19"/>
      <c r="L208" s="19" t="s">
        <v>200</v>
      </c>
      <c r="M208" s="19"/>
      <c r="N208" s="19"/>
      <c r="O208" s="19"/>
      <c r="P208" s="19" t="s">
        <v>201</v>
      </c>
      <c r="Q208" s="19"/>
      <c r="R208" s="19"/>
    </row>
    <row hidden="1" outlineLevel="1" r="209" spans="2:18" x14ac:dyDescent="0.3">
      <c r="C209" s="19" t="s">
        <v>150</v>
      </c>
      <c r="D209" s="19"/>
      <c r="E209" s="19"/>
      <c r="F209" s="19"/>
      <c r="G209" s="19" t="s">
        <v>174</v>
      </c>
      <c r="H209" s="19"/>
      <c r="I209" s="19"/>
      <c r="J209" s="19"/>
      <c r="K209" s="19"/>
      <c r="L209" s="19" t="s">
        <v>150</v>
      </c>
      <c r="M209" s="19"/>
      <c r="N209" s="19"/>
      <c r="O209" s="19"/>
      <c r="P209" s="19" t="s">
        <v>174</v>
      </c>
      <c r="Q209" s="19"/>
      <c r="R209" s="19"/>
    </row>
    <row hidden="1" outlineLevel="1" r="210" spans="2:18" x14ac:dyDescent="0.3">
      <c r="C210" s="19"/>
      <c r="D210" s="19"/>
      <c r="E210" s="19"/>
      <c r="F210" s="19"/>
      <c r="G210" s="19" t="s">
        <v>150</v>
      </c>
      <c r="H210" s="19"/>
      <c r="I210" s="19"/>
      <c r="J210" s="19"/>
      <c r="K210" s="19"/>
      <c r="L210" s="19"/>
      <c r="M210" s="19"/>
      <c r="N210" s="19"/>
      <c r="O210" s="19"/>
      <c r="P210" s="19"/>
      <c r="Q210" s="19"/>
      <c r="R210" s="19"/>
    </row>
    <row hidden="1" outlineLevel="1" r="211" spans="2:18" x14ac:dyDescent="0.3"/>
    <row hidden="1" outlineLevel="1" r="212" spans="2:18" x14ac:dyDescent="0.3"/>
    <row hidden="1" outlineLevel="1" r="213" spans="2:18" x14ac:dyDescent="0.3">
      <c r="G213" s="521" t="s">
        <v>218</v>
      </c>
      <c r="H213" s="522"/>
      <c r="I213" s="522"/>
      <c r="J213" s="522"/>
      <c r="K213" s="522"/>
      <c r="L213" s="523"/>
    </row>
    <row hidden="1" outlineLevel="1" r="214" spans="2:18" x14ac:dyDescent="0.3"/>
    <row hidden="1" outlineLevel="1" r="215" spans="2:18" x14ac:dyDescent="0.3">
      <c r="C215" s="33" t="s">
        <v>190</v>
      </c>
      <c r="D215" s="38"/>
      <c r="F215" s="521" t="s">
        <v>214</v>
      </c>
      <c r="G215" s="522"/>
      <c r="H215" s="523"/>
      <c r="L215" s="17" t="s">
        <v>215</v>
      </c>
      <c r="M215" s="18"/>
      <c r="P215" s="552" t="s">
        <v>193</v>
      </c>
      <c r="Q215" s="552"/>
      <c r="R215" s="552"/>
    </row>
    <row hidden="1" outlineLevel="1" r="216" spans="2:18" x14ac:dyDescent="0.3">
      <c r="C216" s="19" t="s">
        <v>219</v>
      </c>
      <c r="D216" s="19"/>
      <c r="E216" s="19"/>
      <c r="F216" s="19"/>
      <c r="G216" s="19" t="s">
        <v>195</v>
      </c>
      <c r="H216" s="19"/>
      <c r="I216" s="19"/>
      <c r="J216" s="19"/>
      <c r="K216" s="19"/>
      <c r="L216" s="19" t="s">
        <v>196</v>
      </c>
      <c r="M216" s="19"/>
      <c r="N216" s="19"/>
      <c r="O216" s="19"/>
      <c r="P216" s="20" t="s">
        <v>195</v>
      </c>
      <c r="Q216" s="20"/>
      <c r="R216" s="20"/>
    </row>
    <row hidden="1" outlineLevel="1" r="217" spans="2:18" x14ac:dyDescent="0.3">
      <c r="C217" s="19" t="s">
        <v>220</v>
      </c>
      <c r="D217" s="19"/>
      <c r="E217" s="19"/>
      <c r="F217" s="19"/>
      <c r="G217" s="19" t="s">
        <v>163</v>
      </c>
      <c r="H217" s="19"/>
      <c r="I217" s="19"/>
      <c r="J217" s="19"/>
      <c r="K217" s="19"/>
      <c r="L217" s="19" t="s">
        <v>150</v>
      </c>
      <c r="M217" s="19"/>
      <c r="N217" s="19"/>
      <c r="O217" s="19"/>
      <c r="P217" s="19" t="s">
        <v>163</v>
      </c>
      <c r="Q217" s="19"/>
      <c r="R217" s="19"/>
    </row>
    <row hidden="1" outlineLevel="1" r="218" spans="2:18" x14ac:dyDescent="0.3">
      <c r="C218" s="19" t="s">
        <v>150</v>
      </c>
      <c r="D218" s="19"/>
      <c r="E218" s="19"/>
      <c r="F218" s="19"/>
      <c r="G218" s="19"/>
      <c r="H218" s="19"/>
      <c r="I218" s="19"/>
      <c r="J218" s="19"/>
      <c r="K218" s="19"/>
      <c r="L218" s="19"/>
      <c r="M218" s="19"/>
      <c r="N218" s="19"/>
      <c r="O218" s="19"/>
      <c r="P218" s="19"/>
      <c r="Q218" s="19"/>
      <c r="R218" s="19"/>
    </row>
    <row hidden="1" outlineLevel="1" r="219" spans="2:18" x14ac:dyDescent="0.3">
      <c r="C219" s="36"/>
      <c r="D219" s="36"/>
      <c r="E219" s="36"/>
      <c r="F219" s="36"/>
      <c r="G219" s="36"/>
      <c r="H219" s="36"/>
      <c r="I219" s="36"/>
      <c r="J219" s="36"/>
      <c r="K219" s="36"/>
      <c r="M219" s="36"/>
      <c r="N219" s="36"/>
      <c r="O219" s="36"/>
      <c r="P219" s="36"/>
      <c r="Q219" s="36"/>
      <c r="R219" s="36"/>
    </row>
    <row hidden="1" outlineLevel="1" r="220" spans="2:18" x14ac:dyDescent="0.3">
      <c r="C220" s="36"/>
      <c r="D220" s="36"/>
      <c r="E220" s="36"/>
      <c r="F220" s="36"/>
      <c r="G220" s="36"/>
      <c r="H220" s="36"/>
      <c r="I220" s="36"/>
      <c r="J220" s="36"/>
      <c r="K220" s="36"/>
      <c r="M220" s="36"/>
      <c r="N220" s="36"/>
      <c r="O220" s="36"/>
      <c r="P220" s="36"/>
      <c r="Q220" s="36"/>
      <c r="R220" s="36"/>
    </row>
    <row collapsed="1" r="221" spans="2:18" x14ac:dyDescent="0.3">
      <c r="C221" s="36"/>
      <c r="D221" s="36"/>
      <c r="E221" s="36"/>
      <c r="F221" s="36"/>
      <c r="G221" s="36"/>
      <c r="H221" s="36"/>
      <c r="I221" s="36"/>
      <c r="J221" s="36"/>
      <c r="K221" s="36"/>
      <c r="M221" s="36"/>
      <c r="N221" s="36"/>
      <c r="O221" s="36"/>
      <c r="P221" s="36"/>
      <c r="Q221" s="36"/>
      <c r="R221" s="36"/>
    </row>
    <row r="222" spans="2:18" x14ac:dyDescent="0.3">
      <c r="C222" s="512" t="s">
        <v>221</v>
      </c>
      <c r="D222" s="513"/>
      <c r="E222" s="513"/>
      <c r="F222" s="513"/>
      <c r="G222" s="514"/>
      <c r="H222" s="31"/>
      <c r="I222" s="36"/>
      <c r="J222" s="36"/>
      <c r="K222" s="36"/>
      <c r="M222" s="36"/>
      <c r="N222" s="36"/>
      <c r="O222" s="36"/>
      <c r="P222" s="36"/>
      <c r="Q222" s="36"/>
      <c r="R222" s="36"/>
    </row>
    <row r="223" spans="2:18" x14ac:dyDescent="0.3">
      <c r="B223" s="39"/>
      <c r="C223" s="515"/>
      <c r="D223" s="516"/>
      <c r="E223" s="516"/>
      <c r="F223" s="516"/>
      <c r="G223" s="517"/>
      <c r="H223" s="26"/>
      <c r="I223" s="42"/>
      <c r="J223" s="6"/>
      <c r="K223" s="6"/>
      <c r="L223" s="6"/>
      <c r="M223" s="42"/>
      <c r="N223" s="42"/>
      <c r="O223" s="42"/>
      <c r="P223" s="42"/>
      <c r="Q223" s="42"/>
      <c r="R223" s="43"/>
    </row>
    <row r="224" spans="2:18" x14ac:dyDescent="0.3">
      <c r="B224" s="5"/>
      <c r="C224" s="271"/>
      <c r="D224" s="271"/>
      <c r="E224" s="271"/>
      <c r="F224" s="271"/>
      <c r="G224" s="271"/>
      <c r="I224" s="36"/>
      <c r="M224" s="36"/>
      <c r="N224" s="36"/>
      <c r="O224" s="36"/>
      <c r="P224" s="36"/>
      <c r="Q224" s="36"/>
      <c r="R224" s="44"/>
    </row>
    <row r="225" spans="2:18" x14ac:dyDescent="0.3">
      <c r="B225" s="5"/>
      <c r="C225" s="1" t="s">
        <v>222</v>
      </c>
      <c r="D225" s="271"/>
      <c r="E225" s="271"/>
      <c r="F225" s="271"/>
      <c r="G225" s="271"/>
      <c r="I225" s="36"/>
      <c r="M225" s="36"/>
      <c r="N225" s="36"/>
      <c r="O225" s="36"/>
      <c r="P225" s="36"/>
      <c r="Q225" s="36"/>
      <c r="R225" s="44"/>
    </row>
    <row r="226" spans="2:18" x14ac:dyDescent="0.3">
      <c r="B226" s="5"/>
      <c r="C226" s="1" t="s">
        <v>78</v>
      </c>
      <c r="D226" s="271"/>
      <c r="E226" s="271"/>
      <c r="F226" s="271"/>
      <c r="G226" s="271"/>
      <c r="I226" s="36"/>
      <c r="J226" s="1" t="s">
        <v>89</v>
      </c>
      <c r="M226" s="36"/>
      <c r="N226" s="36"/>
      <c r="O226" s="36"/>
      <c r="P226" s="36"/>
      <c r="Q226" s="36"/>
      <c r="R226" s="44"/>
    </row>
    <row r="227" spans="2:18" x14ac:dyDescent="0.3">
      <c r="B227" s="5"/>
      <c r="C227" s="271"/>
      <c r="D227" s="271"/>
      <c r="E227" s="271"/>
      <c r="F227" s="271"/>
      <c r="G227" s="271"/>
      <c r="I227" s="36"/>
      <c r="M227" s="36"/>
      <c r="N227" s="36"/>
      <c r="O227" s="36"/>
      <c r="P227" s="36"/>
      <c r="Q227" s="36"/>
      <c r="R227" s="44"/>
    </row>
    <row r="228" spans="2:18" x14ac:dyDescent="0.3">
      <c r="B228" s="5"/>
      <c r="C228" s="55" t="s">
        <v>223</v>
      </c>
      <c r="D228" s="257"/>
      <c r="F228" s="24"/>
      <c r="H228" s="36"/>
      <c r="I228" s="36"/>
      <c r="J228" s="542" t="s">
        <v>224</v>
      </c>
      <c r="K228" s="542"/>
      <c r="L228" s="542"/>
      <c r="M228" s="36"/>
      <c r="N228" s="53"/>
      <c r="O228" s="36"/>
      <c r="P228" s="36"/>
      <c r="Q228" s="36"/>
      <c r="R228" s="44"/>
    </row>
    <row customHeight="1" ht="7.5" r="229" spans="2:18" x14ac:dyDescent="0.3">
      <c r="B229" s="5"/>
      <c r="C229" s="36"/>
      <c r="D229" s="36"/>
      <c r="E229" s="52"/>
      <c r="F229" s="53"/>
      <c r="G229" s="53"/>
      <c r="H229" s="36"/>
      <c r="I229" s="36"/>
      <c r="M229" s="36"/>
      <c r="N229" s="53"/>
      <c r="O229" s="36"/>
      <c r="P229" s="36"/>
      <c r="Q229" s="36"/>
      <c r="R229" s="44"/>
    </row>
    <row r="230" spans="2:18" x14ac:dyDescent="0.3">
      <c r="B230" s="5"/>
      <c r="C230" s="156" t="s">
        <v>225</v>
      </c>
      <c r="D230" s="36"/>
      <c r="E230" s="294"/>
      <c r="F230" s="14"/>
      <c r="G230" s="263">
        <v>1</v>
      </c>
      <c r="I230" s="36"/>
      <c r="J230" s="17" t="s">
        <v>31</v>
      </c>
      <c r="K230" s="46"/>
      <c r="L230" s="47"/>
      <c r="M230" s="36"/>
      <c r="N230" s="289"/>
      <c r="O230" s="36"/>
      <c r="P230" s="45" t="s">
        <v>226</v>
      </c>
      <c r="Q230" s="45"/>
      <c r="R230" s="44"/>
    </row>
    <row customHeight="1" ht="8.25" r="231" spans="2:18" x14ac:dyDescent="0.3">
      <c r="B231" s="5"/>
      <c r="C231" s="36"/>
      <c r="D231" s="36"/>
      <c r="E231" s="293"/>
      <c r="F231" s="53"/>
      <c r="G231" s="53"/>
      <c r="I231" s="36"/>
      <c r="J231" s="36"/>
      <c r="K231" s="36"/>
      <c r="M231" s="36"/>
      <c r="N231" s="293"/>
      <c r="O231" s="36"/>
      <c r="P231" s="45"/>
      <c r="Q231" s="45"/>
      <c r="R231" s="44"/>
    </row>
    <row r="232" spans="2:18" x14ac:dyDescent="0.3">
      <c r="B232" s="5"/>
      <c r="C232" s="156" t="s">
        <v>119</v>
      </c>
      <c r="D232" s="36"/>
      <c r="E232" s="294"/>
      <c r="F232" s="53"/>
      <c r="G232" s="263">
        <v>2</v>
      </c>
      <c r="I232" s="36"/>
      <c r="J232" s="524" t="s">
        <v>227</v>
      </c>
      <c r="K232" s="525"/>
      <c r="L232" s="526"/>
      <c r="M232" s="36"/>
      <c r="N232" s="289"/>
      <c r="O232" s="36"/>
      <c r="P232" s="263">
        <v>4</v>
      </c>
      <c r="Q232" s="45"/>
      <c r="R232" s="44"/>
    </row>
    <row customHeight="1" ht="6.75" r="233" spans="2:18" x14ac:dyDescent="0.3">
      <c r="B233" s="5"/>
      <c r="E233" s="52"/>
      <c r="F233" s="52"/>
      <c r="G233" s="52"/>
      <c r="H233" s="36"/>
      <c r="I233" s="36"/>
      <c r="M233" s="36"/>
      <c r="N233" s="293"/>
      <c r="O233" s="36"/>
      <c r="P233" s="45"/>
      <c r="Q233" s="45"/>
      <c r="R233" s="44"/>
    </row>
    <row r="234" spans="2:18" x14ac:dyDescent="0.3">
      <c r="B234" s="5"/>
      <c r="C234" s="181" t="str">
        <f>+IF(E230="ALCANTARILLA","Ojos/Vanos:","Caract. Secundaria:")</f>
      </c>
      <c r="E234" s="544"/>
      <c r="F234" s="545"/>
      <c r="G234" s="546"/>
      <c r="H234" s="263">
        <v>3</v>
      </c>
      <c r="I234" s="36"/>
      <c r="J234" s="524" t="s">
        <v>111</v>
      </c>
      <c r="K234" s="525"/>
      <c r="L234" s="526"/>
      <c r="M234" s="36"/>
      <c r="N234" s="294"/>
      <c r="O234" s="36"/>
      <c r="P234" s="263">
        <v>5</v>
      </c>
      <c r="Q234" s="45"/>
      <c r="R234" s="44"/>
    </row>
    <row r="235" spans="2:18" x14ac:dyDescent="0.3">
      <c r="B235" s="5"/>
      <c r="C235" s="24"/>
      <c r="E235" s="52"/>
      <c r="F235" s="52"/>
      <c r="G235" s="52"/>
      <c r="H235" s="263"/>
      <c r="I235" s="36"/>
      <c r="J235" s="14"/>
      <c r="K235" s="14"/>
      <c r="L235" s="14"/>
      <c r="M235" s="36"/>
      <c r="N235" s="293"/>
      <c r="O235" s="36"/>
      <c r="P235" s="263"/>
      <c r="Q235" s="45"/>
      <c r="R235" s="44"/>
    </row>
    <row r="236" spans="2:18" x14ac:dyDescent="0.3">
      <c r="B236" s="5"/>
      <c r="C236" s="1" t="s">
        <v>93</v>
      </c>
      <c r="E236" s="52"/>
      <c r="F236" s="52"/>
      <c r="G236" s="52"/>
      <c r="H236" s="263"/>
      <c r="I236" s="36"/>
      <c r="J236" s="14"/>
      <c r="K236" s="14"/>
      <c r="L236" s="14"/>
      <c r="M236" s="36"/>
      <c r="N236" s="293"/>
      <c r="O236" s="36"/>
      <c r="P236" s="263"/>
      <c r="Q236" s="45"/>
      <c r="R236" s="44"/>
    </row>
    <row r="237" spans="2:18" x14ac:dyDescent="0.3">
      <c r="B237" s="5"/>
      <c r="C237" s="36"/>
      <c r="D237" s="36"/>
      <c r="E237" s="53"/>
      <c r="F237" s="53"/>
      <c r="G237" s="53"/>
      <c r="H237" s="36"/>
      <c r="I237" s="36"/>
      <c r="J237" s="36"/>
      <c r="K237" s="36"/>
      <c r="M237" s="36"/>
      <c r="N237" s="53"/>
      <c r="Q237" s="45"/>
      <c r="R237" s="44"/>
    </row>
    <row r="238" spans="2:18" x14ac:dyDescent="0.3">
      <c r="B238" s="5"/>
      <c r="C238" s="55" t="s">
        <v>228</v>
      </c>
      <c r="D238" s="257"/>
      <c r="E238" s="36"/>
      <c r="F238" s="36"/>
      <c r="G238" s="36"/>
      <c r="H238" s="452" t="s">
        <v>229</v>
      </c>
      <c r="I238" s="36"/>
      <c r="J238" s="452" t="s">
        <v>230</v>
      </c>
      <c r="K238" s="36"/>
      <c r="L238"/>
      <c r="M238"/>
      <c r="N238"/>
      <c r="O238"/>
      <c r="P238"/>
      <c r="Q238" s="38"/>
      <c r="R238" s="44"/>
    </row>
    <row r="239" spans="2:18" x14ac:dyDescent="0.3">
      <c r="B239" s="5"/>
      <c r="C239" s="36"/>
      <c r="D239" s="36"/>
      <c r="E239" s="36"/>
      <c r="F239" s="36"/>
      <c r="G239" s="36"/>
      <c r="H239" s="36"/>
      <c r="I239" s="36"/>
      <c r="K239" s="36"/>
      <c r="L239"/>
      <c r="M239"/>
      <c r="N239"/>
      <c r="O239"/>
      <c r="P239"/>
      <c r="Q239" s="36"/>
      <c r="R239" s="44"/>
    </row>
    <row r="240" spans="2:18" x14ac:dyDescent="0.3">
      <c r="B240" s="5"/>
      <c r="C240" s="36"/>
      <c r="D240" s="36"/>
      <c r="E240" s="533" t="s">
        <v>225</v>
      </c>
      <c r="F240" s="543"/>
      <c r="G240" s="263">
        <v>6</v>
      </c>
      <c r="H240" s="48"/>
      <c r="I240" s="36"/>
      <c r="J240" s="48"/>
      <c r="K240" s="36"/>
      <c r="L240"/>
      <c r="M240"/>
      <c r="N240"/>
      <c r="O240"/>
      <c r="P240"/>
      <c r="Q240" s="45"/>
      <c r="R240" s="44"/>
    </row>
    <row customHeight="1" ht="8.25" r="241" spans="2:18" x14ac:dyDescent="0.3">
      <c r="B241" s="5"/>
      <c r="C241" s="36"/>
      <c r="D241" s="36"/>
      <c r="E241" s="36"/>
      <c r="F241" s="36"/>
      <c r="G241" s="36"/>
      <c r="H241" s="45"/>
      <c r="I241" s="36"/>
      <c r="J241" s="45"/>
      <c r="K241" s="36"/>
      <c r="L241"/>
      <c r="M241"/>
      <c r="N241"/>
      <c r="O241"/>
      <c r="P241"/>
      <c r="Q241" s="45"/>
      <c r="R241" s="44"/>
    </row>
    <row r="242" spans="2:18" x14ac:dyDescent="0.3">
      <c r="B242" s="5"/>
      <c r="C242" s="36"/>
      <c r="D242" s="36"/>
      <c r="E242" s="533" t="s">
        <v>111</v>
      </c>
      <c r="F242" s="543"/>
      <c r="G242" s="263">
        <v>7</v>
      </c>
      <c r="H242" s="48"/>
      <c r="I242" s="36"/>
      <c r="J242" s="48"/>
      <c r="K242" s="36"/>
      <c r="L242"/>
      <c r="M242"/>
      <c r="N242"/>
      <c r="O242"/>
      <c r="P242"/>
      <c r="Q242" s="45"/>
      <c r="R242" s="44"/>
    </row>
    <row customHeight="1" ht="10.5" r="243" spans="2:18" x14ac:dyDescent="0.3">
      <c r="B243" s="5"/>
      <c r="C243" s="36"/>
      <c r="D243" s="36"/>
      <c r="E243" s="36"/>
      <c r="F243" s="36"/>
      <c r="G243" s="36"/>
      <c r="H243" s="45"/>
      <c r="I243" s="36"/>
      <c r="J243" s="45"/>
      <c r="K243" s="36"/>
      <c r="L243"/>
      <c r="M243"/>
      <c r="N243"/>
      <c r="O243"/>
      <c r="P243"/>
      <c r="Q243" s="45"/>
      <c r="R243" s="44"/>
    </row>
    <row r="244" spans="2:18" x14ac:dyDescent="0.3">
      <c r="B244" s="5"/>
      <c r="C244" s="36"/>
      <c r="D244" s="36"/>
      <c r="E244" s="533" t="s">
        <v>231</v>
      </c>
      <c r="F244" s="543"/>
      <c r="G244" s="263">
        <v>8</v>
      </c>
      <c r="H244" s="48"/>
      <c r="I244" s="36"/>
      <c r="J244" s="48"/>
      <c r="K244" s="36"/>
      <c r="L244"/>
      <c r="M244"/>
      <c r="N244"/>
      <c r="O244"/>
      <c r="P244"/>
      <c r="Q244" s="45"/>
      <c r="R244" s="44"/>
    </row>
    <row customHeight="1" ht="7.5" r="245" spans="2:18" x14ac:dyDescent="0.3">
      <c r="B245" s="5"/>
      <c r="C245" s="36"/>
      <c r="D245" s="36"/>
      <c r="E245" s="36"/>
      <c r="F245" s="36"/>
      <c r="G245" s="36"/>
      <c r="H245" s="45"/>
      <c r="I245" s="36"/>
      <c r="J245" s="45"/>
      <c r="K245" s="36"/>
      <c r="L245"/>
      <c r="M245"/>
      <c r="N245"/>
      <c r="O245"/>
      <c r="P245"/>
      <c r="Q245" s="45"/>
      <c r="R245" s="44"/>
    </row>
    <row r="246" spans="2:18" x14ac:dyDescent="0.3">
      <c r="B246" s="5"/>
      <c r="C246" s="36"/>
      <c r="D246" s="36"/>
      <c r="E246" s="533" t="s">
        <v>232</v>
      </c>
      <c r="F246" s="543"/>
      <c r="G246" s="263">
        <v>9</v>
      </c>
      <c r="H246" s="48"/>
      <c r="I246" s="36"/>
      <c r="J246" s="48"/>
      <c r="K246" s="36"/>
      <c r="L246"/>
      <c r="M246"/>
      <c r="N246"/>
      <c r="O246"/>
      <c r="P246"/>
      <c r="Q246" s="45"/>
      <c r="R246" s="44"/>
    </row>
    <row customHeight="1" ht="9" r="247" spans="2:18" x14ac:dyDescent="0.3">
      <c r="B247" s="5"/>
      <c r="C247" s="36"/>
      <c r="D247" s="36"/>
      <c r="E247" s="36"/>
      <c r="F247" s="36"/>
      <c r="G247" s="36"/>
      <c r="H247" s="45"/>
      <c r="I247" s="36"/>
      <c r="J247" s="36"/>
      <c r="K247" s="36"/>
      <c r="L247" s="45"/>
      <c r="M247" s="36"/>
      <c r="N247" s="36"/>
      <c r="O247" s="36"/>
      <c r="Q247" s="45"/>
      <c r="R247" s="44"/>
    </row>
    <row customHeight="1" ht="16.5" r="248" spans="2:18" x14ac:dyDescent="0.3">
      <c r="B248" s="5"/>
      <c r="C248" s="1" t="s">
        <v>233</v>
      </c>
      <c r="D248" s="36"/>
      <c r="E248" s="45" t="s">
        <v>234</v>
      </c>
      <c r="F248" s="36"/>
      <c r="G248" s="36"/>
      <c r="H248" s="45"/>
      <c r="I248" s="36"/>
      <c r="J248" s="36"/>
      <c r="K248" s="36"/>
      <c r="L248" s="45"/>
      <c r="M248" s="36"/>
      <c r="N248" s="36"/>
      <c r="O248" s="36"/>
      <c r="Q248" s="45"/>
      <c r="R248" s="44"/>
    </row>
    <row customHeight="1" ht="9" r="249" spans="2:18" x14ac:dyDescent="0.3">
      <c r="B249" s="5"/>
      <c r="C249" s="36"/>
      <c r="D249" s="36"/>
      <c r="E249" s="36"/>
      <c r="F249" s="36"/>
      <c r="G249" s="36"/>
      <c r="H249" s="45"/>
      <c r="I249" s="36"/>
      <c r="J249" s="36"/>
      <c r="K249" s="36"/>
      <c r="L249"/>
      <c r="M249"/>
      <c r="N249"/>
      <c r="O249" s="36"/>
      <c r="Q249" s="45"/>
      <c r="R249" s="44"/>
    </row>
    <row r="250" spans="2:18" x14ac:dyDescent="0.3">
      <c r="B250" s="5"/>
      <c r="C250" s="542" t="s">
        <v>235</v>
      </c>
      <c r="D250" s="273"/>
      <c r="E250" s="533" t="s">
        <v>112</v>
      </c>
      <c r="F250" s="535" t="s">
        <v>119</v>
      </c>
      <c r="G250" s="263">
        <v>10</v>
      </c>
      <c r="H250" s="48"/>
      <c r="J250" s="48" t="s">
        <v>236</v>
      </c>
      <c r="L250"/>
      <c r="M250"/>
      <c r="N250"/>
      <c r="Q250" s="45"/>
      <c r="R250" s="44"/>
    </row>
    <row customHeight="1" ht="9" r="251" spans="2:18" x14ac:dyDescent="0.3">
      <c r="B251" s="5"/>
      <c r="C251" s="542"/>
      <c r="D251" s="257"/>
      <c r="E251" s="36"/>
      <c r="F251" s="36"/>
      <c r="G251" s="36"/>
      <c r="H251" s="45"/>
      <c r="L251"/>
      <c r="M251"/>
      <c r="N251"/>
      <c r="R251" s="44"/>
    </row>
    <row r="252" spans="2:18" x14ac:dyDescent="0.3">
      <c r="B252" s="5"/>
      <c r="C252" s="542"/>
      <c r="D252" s="273"/>
      <c r="E252" s="533" t="s">
        <v>119</v>
      </c>
      <c r="F252" s="535" t="s">
        <v>119</v>
      </c>
      <c r="G252" s="263">
        <v>11</v>
      </c>
      <c r="H252" s="48"/>
      <c r="J252" s="48"/>
      <c r="L252"/>
      <c r="M252"/>
      <c r="N252"/>
      <c r="Q252" s="45"/>
      <c r="R252" s="44"/>
    </row>
    <row customHeight="1" ht="9" r="253" spans="2:18" x14ac:dyDescent="0.3">
      <c r="B253" s="5"/>
      <c r="C253" s="257"/>
      <c r="D253" s="257"/>
      <c r="E253" s="38"/>
      <c r="F253" s="38"/>
      <c r="G253" s="36"/>
      <c r="H253" s="45"/>
      <c r="J253" s="45"/>
      <c r="L253" s="45"/>
      <c r="Q253" s="45"/>
      <c r="R253" s="44"/>
    </row>
    <row r="254" spans="2:18" x14ac:dyDescent="0.3">
      <c r="B254" s="5"/>
      <c r="C254" s="1" t="s">
        <v>237</v>
      </c>
      <c r="D254" s="257"/>
      <c r="E254" s="38"/>
      <c r="F254" s="38"/>
      <c r="G254" s="36"/>
      <c r="H254" s="45"/>
      <c r="J254" s="45"/>
      <c r="L254" s="45"/>
      <c r="Q254" s="45"/>
      <c r="R254" s="44"/>
    </row>
    <row customHeight="1" ht="9" r="255" spans="2:18" x14ac:dyDescent="0.3">
      <c r="B255" s="5"/>
      <c r="C255" s="257"/>
      <c r="D255" s="257"/>
      <c r="E255" s="38"/>
      <c r="F255" s="38"/>
      <c r="G255" s="36"/>
      <c r="H255" s="45"/>
      <c r="R255" s="44"/>
    </row>
    <row r="256" spans="2:18" x14ac:dyDescent="0.3">
      <c r="B256" s="5"/>
      <c r="C256" s="542" t="s">
        <v>238</v>
      </c>
      <c r="D256" s="273"/>
      <c r="E256" s="533" t="s">
        <v>112</v>
      </c>
      <c r="F256" s="535" t="s">
        <v>119</v>
      </c>
      <c r="G256" s="263">
        <v>12</v>
      </c>
      <c r="H256" s="48"/>
      <c r="R256" s="44"/>
    </row>
    <row customHeight="1" ht="9" r="257" spans="2:18" x14ac:dyDescent="0.3">
      <c r="B257" s="5"/>
      <c r="C257" s="542"/>
      <c r="D257" s="257"/>
      <c r="E257" s="36"/>
      <c r="F257" s="36"/>
      <c r="G257" s="36"/>
      <c r="H257" s="45"/>
      <c r="R257" s="44"/>
    </row>
    <row r="258" spans="2:18" x14ac:dyDescent="0.3">
      <c r="B258" s="5"/>
      <c r="C258" s="542"/>
      <c r="D258" s="273"/>
      <c r="E258" s="533" t="s">
        <v>119</v>
      </c>
      <c r="F258" s="535" t="s">
        <v>119</v>
      </c>
      <c r="G258" s="263">
        <v>13</v>
      </c>
      <c r="H258" s="48"/>
      <c r="M258" s="38"/>
      <c r="N258" s="38"/>
      <c r="O258" s="36"/>
      <c r="P258" s="45"/>
      <c r="Q258" s="45"/>
      <c r="R258" s="44"/>
    </row>
    <row r="259" spans="2:18" x14ac:dyDescent="0.3">
      <c r="B259" s="5"/>
      <c r="C259" s="36"/>
      <c r="D259" s="36"/>
      <c r="E259" s="38"/>
      <c r="F259" s="38"/>
      <c r="G259" s="36"/>
      <c r="H259" s="45"/>
      <c r="M259" s="38"/>
      <c r="N259" s="38"/>
      <c r="O259" s="36"/>
      <c r="P259" s="45"/>
      <c r="Q259" s="45"/>
      <c r="R259" s="44"/>
    </row>
    <row r="260" spans="2:18" x14ac:dyDescent="0.3">
      <c r="B260" s="10"/>
      <c r="C260" s="49"/>
      <c r="D260" s="49"/>
      <c r="E260" s="49"/>
      <c r="F260" s="49"/>
      <c r="G260" s="49"/>
      <c r="H260" s="49"/>
      <c r="I260" s="49"/>
      <c r="J260" s="49"/>
      <c r="K260" s="49"/>
      <c r="L260" s="11"/>
      <c r="M260" s="49"/>
      <c r="N260" s="49"/>
      <c r="O260" s="49"/>
      <c r="P260" s="49"/>
      <c r="Q260" s="49"/>
      <c r="R260" s="50"/>
    </row>
    <row r="261" spans="2:18" x14ac:dyDescent="0.3">
      <c r="C261" s="36"/>
      <c r="D261" s="36"/>
      <c r="E261" s="36"/>
      <c r="F261" s="36"/>
      <c r="G261" s="36"/>
      <c r="H261" s="36"/>
      <c r="I261" s="36"/>
      <c r="J261" s="36"/>
      <c r="K261" s="36"/>
      <c r="M261" s="36"/>
      <c r="N261" s="36"/>
      <c r="O261" s="36"/>
      <c r="P261" s="36"/>
      <c r="Q261" s="36"/>
      <c r="R261" s="36"/>
    </row>
    <row r="262" spans="2:18" x14ac:dyDescent="0.3">
      <c r="C262" s="36"/>
      <c r="D262" s="36"/>
      <c r="E262" s="36"/>
      <c r="F262" s="36"/>
      <c r="G262" s="36"/>
      <c r="H262" s="36"/>
      <c r="I262" s="36"/>
      <c r="J262" s="36"/>
      <c r="K262" s="36"/>
      <c r="M262" s="36"/>
      <c r="N262" s="36"/>
      <c r="O262" s="36"/>
      <c r="P262" s="36"/>
      <c r="Q262" s="36"/>
      <c r="R262" s="36"/>
    </row>
    <row r="263" spans="2:18" x14ac:dyDescent="0.3">
      <c r="C263" s="512" t="s">
        <v>239</v>
      </c>
      <c r="D263" s="513"/>
      <c r="E263" s="513"/>
      <c r="F263" s="513"/>
      <c r="G263" s="514"/>
      <c r="H263" s="36"/>
      <c r="I263" s="36"/>
      <c r="J263" s="36"/>
      <c r="K263" s="36"/>
      <c r="M263" s="36"/>
      <c r="N263" s="36"/>
      <c r="O263" s="36"/>
      <c r="P263" s="36"/>
      <c r="Q263" s="36"/>
      <c r="R263" s="36"/>
    </row>
    <row r="264" spans="2:18" x14ac:dyDescent="0.3">
      <c r="B264" s="13"/>
      <c r="C264" s="515"/>
      <c r="D264" s="516"/>
      <c r="E264" s="516"/>
      <c r="F264" s="516"/>
      <c r="G264" s="517"/>
      <c r="H264" s="42"/>
      <c r="I264" s="42"/>
      <c r="J264" s="42"/>
      <c r="K264" s="42"/>
      <c r="L264" s="6"/>
      <c r="M264" s="42"/>
      <c r="N264" s="42"/>
      <c r="O264" s="42"/>
      <c r="P264" s="42"/>
      <c r="Q264" s="42"/>
      <c r="R264" s="43"/>
    </row>
    <row r="265" spans="2:18" x14ac:dyDescent="0.3">
      <c r="B265" s="5"/>
      <c r="C265" s="36"/>
      <c r="D265" s="36"/>
      <c r="E265" s="36"/>
      <c r="F265" s="36"/>
      <c r="G265" s="53"/>
      <c r="H265" s="53"/>
      <c r="I265" s="36"/>
      <c r="J265" s="36"/>
      <c r="K265" s="36"/>
      <c r="M265" s="36"/>
      <c r="N265" s="53"/>
      <c r="O265" s="53"/>
      <c r="P265" s="53"/>
      <c r="Q265" s="36"/>
      <c r="R265" s="44"/>
    </row>
    <row r="266" spans="2:18" x14ac:dyDescent="0.3">
      <c r="B266" s="5"/>
      <c r="C266" s="1" t="s">
        <v>240</v>
      </c>
      <c r="D266" s="36"/>
      <c r="E266" s="36"/>
      <c r="F266" s="36"/>
      <c r="G266" s="53"/>
      <c r="H266" s="53"/>
      <c r="I266" s="36"/>
      <c r="J266" s="36"/>
      <c r="K266" s="36"/>
      <c r="M266" s="36"/>
      <c r="N266" s="53"/>
      <c r="O266" s="53"/>
      <c r="P266" s="53"/>
      <c r="Q266" s="36"/>
      <c r="R266" s="44"/>
    </row>
    <row r="267" spans="2:18" x14ac:dyDescent="0.3">
      <c r="B267" s="5"/>
      <c r="C267" s="36"/>
      <c r="D267" s="36"/>
      <c r="E267" s="36"/>
      <c r="F267" s="36"/>
      <c r="G267" s="539" t="s">
        <v>241</v>
      </c>
      <c r="H267" s="541"/>
      <c r="I267" s="36"/>
      <c r="J267" s="36"/>
      <c r="K267" s="36"/>
      <c r="N267" s="539" t="s">
        <v>242</v>
      </c>
      <c r="O267" s="540"/>
      <c r="P267" s="541"/>
      <c r="Q267" s="38"/>
      <c r="R267" s="44"/>
    </row>
    <row customHeight="1" ht="5.25" r="268" spans="2:18" x14ac:dyDescent="0.3">
      <c r="B268" s="5"/>
      <c r="C268" s="36"/>
      <c r="D268" s="36"/>
      <c r="E268" s="36"/>
      <c r="F268" s="36"/>
      <c r="G268" s="14"/>
      <c r="H268" s="14"/>
      <c r="I268" s="36"/>
      <c r="J268" s="36"/>
      <c r="K268" s="36"/>
      <c r="M268" s="36"/>
      <c r="N268" s="53"/>
      <c r="O268" s="53"/>
      <c r="P268" s="53"/>
      <c r="Q268" s="36"/>
      <c r="R268" s="44"/>
    </row>
    <row r="269" spans="2:18" x14ac:dyDescent="0.3">
      <c r="B269" s="5"/>
      <c r="C269" s="533" t="s">
        <v>243</v>
      </c>
      <c r="D269" s="534"/>
      <c r="E269" s="535" t="s">
        <v>119</v>
      </c>
      <c r="F269" s="36"/>
      <c r="G269" s="289"/>
      <c r="H269" s="263">
        <v>1</v>
      </c>
      <c r="I269" s="36"/>
      <c r="J269" s="36"/>
      <c r="K269" s="36"/>
      <c r="M269" s="36"/>
      <c r="N269" s="289"/>
      <c r="O269" s="53"/>
      <c r="P269" s="263">
        <v>2</v>
      </c>
      <c r="Q269" s="45"/>
      <c r="R269" s="44"/>
    </row>
    <row r="270" spans="2:18" x14ac:dyDescent="0.3">
      <c r="B270" s="5"/>
      <c r="C270" s="36"/>
      <c r="D270" s="36"/>
      <c r="E270" s="36"/>
      <c r="F270" s="36"/>
      <c r="G270" s="295"/>
      <c r="H270" s="53"/>
      <c r="I270" s="36"/>
      <c r="J270" s="36"/>
      <c r="K270" s="36"/>
      <c r="M270" s="36"/>
      <c r="N270" s="295"/>
      <c r="O270" s="53"/>
      <c r="P270" s="53"/>
      <c r="Q270" s="36"/>
      <c r="R270" s="44"/>
    </row>
    <row r="271" spans="2:18" x14ac:dyDescent="0.3">
      <c r="B271" s="5"/>
      <c r="C271" s="533" t="s">
        <v>244</v>
      </c>
      <c r="D271" s="534"/>
      <c r="E271" s="535" t="s">
        <v>119</v>
      </c>
      <c r="F271" s="36"/>
      <c r="G271" s="296"/>
      <c r="H271" s="289"/>
      <c r="I271" s="45"/>
      <c r="J271" s="263">
        <v>3</v>
      </c>
      <c r="K271" s="36"/>
      <c r="M271" s="36"/>
      <c r="N271" s="297"/>
      <c r="O271" s="299"/>
      <c r="P271" s="289"/>
      <c r="Q271" s="3"/>
      <c r="R271" s="264">
        <v>4</v>
      </c>
    </row>
    <row r="272" spans="2:18" x14ac:dyDescent="0.3">
      <c r="B272" s="5"/>
      <c r="C272" s="36"/>
      <c r="D272" s="36"/>
      <c r="E272" s="36"/>
      <c r="F272" s="36"/>
      <c r="G272" s="295"/>
      <c r="H272" s="53"/>
      <c r="I272" s="36"/>
      <c r="J272" s="36"/>
      <c r="K272" s="36"/>
      <c r="M272" s="36"/>
      <c r="N272" s="295"/>
      <c r="O272" s="53"/>
      <c r="P272" s="53"/>
      <c r="Q272" s="36"/>
      <c r="R272" s="44"/>
    </row>
    <row r="273" spans="2:21" x14ac:dyDescent="0.3">
      <c r="B273" s="5"/>
      <c r="C273" s="533" t="s">
        <v>27</v>
      </c>
      <c r="D273" s="534"/>
      <c r="E273" s="535" t="s">
        <v>119</v>
      </c>
      <c r="F273" s="36"/>
      <c r="G273" s="289"/>
      <c r="H273" s="263">
        <v>5</v>
      </c>
      <c r="I273" s="36"/>
      <c r="J273" s="36"/>
      <c r="K273" s="36"/>
      <c r="M273" s="36"/>
      <c r="N273" s="289"/>
      <c r="O273" s="53"/>
      <c r="P273" s="263">
        <v>6</v>
      </c>
      <c r="Q273" s="45"/>
      <c r="R273" s="44"/>
    </row>
    <row r="274" spans="2:21" x14ac:dyDescent="0.3">
      <c r="B274" s="5"/>
      <c r="C274" s="36"/>
      <c r="D274" s="36"/>
      <c r="E274" s="36"/>
      <c r="F274" s="36"/>
      <c r="G274" s="295"/>
      <c r="H274" s="53"/>
      <c r="I274" s="36"/>
      <c r="J274" s="36"/>
      <c r="K274" s="36"/>
      <c r="M274" s="36"/>
      <c r="N274" s="295"/>
      <c r="O274" s="53"/>
      <c r="P274" s="53"/>
      <c r="Q274" s="36"/>
      <c r="R274" s="44"/>
    </row>
    <row r="275" spans="2:21" x14ac:dyDescent="0.3">
      <c r="B275" s="5"/>
      <c r="C275" s="533" t="s">
        <v>245</v>
      </c>
      <c r="D275" s="534"/>
      <c r="E275" s="535" t="s">
        <v>119</v>
      </c>
      <c r="F275" s="36"/>
      <c r="G275" s="289"/>
      <c r="H275" s="263">
        <v>7</v>
      </c>
      <c r="I275" s="36"/>
      <c r="J275" s="36"/>
      <c r="K275" s="36"/>
      <c r="M275" s="36"/>
      <c r="N275" s="289"/>
      <c r="O275" s="53"/>
      <c r="P275" s="263">
        <v>8</v>
      </c>
      <c r="Q275" s="45"/>
      <c r="R275" s="44"/>
    </row>
    <row r="276" spans="2:21" x14ac:dyDescent="0.3">
      <c r="B276" s="5"/>
      <c r="C276" s="36"/>
      <c r="D276" s="36"/>
      <c r="E276" s="36"/>
      <c r="F276" s="36"/>
      <c r="G276" s="295"/>
      <c r="H276" s="53"/>
      <c r="I276" s="36"/>
      <c r="J276" s="36"/>
      <c r="K276" s="36"/>
      <c r="M276" s="36"/>
      <c r="N276" s="295"/>
      <c r="O276" s="53"/>
      <c r="P276" s="53"/>
      <c r="Q276" s="36"/>
      <c r="R276" s="44"/>
    </row>
    <row r="277" spans="2:21" x14ac:dyDescent="0.3">
      <c r="B277" s="5"/>
      <c r="C277" s="533" t="s">
        <v>246</v>
      </c>
      <c r="D277" s="534"/>
      <c r="E277" s="535" t="s">
        <v>119</v>
      </c>
      <c r="F277" s="36"/>
      <c r="G277" s="297"/>
      <c r="H277" s="263">
        <v>9</v>
      </c>
      <c r="I277" s="36"/>
      <c r="J277" s="36"/>
      <c r="K277" s="36"/>
      <c r="M277" s="36"/>
      <c r="N277" s="297"/>
      <c r="O277" s="53"/>
      <c r="P277" s="263">
        <v>10</v>
      </c>
      <c r="Q277" s="36"/>
      <c r="R277" s="44"/>
    </row>
    <row r="278" spans="2:21" x14ac:dyDescent="0.3">
      <c r="B278" s="5"/>
      <c r="C278" s="36"/>
      <c r="D278" s="36"/>
      <c r="E278" s="36"/>
      <c r="F278" s="36"/>
      <c r="G278" s="295"/>
      <c r="H278" s="53"/>
      <c r="I278" s="36"/>
      <c r="J278" s="36"/>
      <c r="K278" s="36"/>
      <c r="M278" s="36"/>
      <c r="N278" s="295"/>
      <c r="O278" s="53"/>
      <c r="P278" s="53"/>
      <c r="Q278" s="36"/>
      <c r="R278" s="44"/>
    </row>
    <row r="279" spans="2:21" x14ac:dyDescent="0.3">
      <c r="B279" s="5"/>
      <c r="C279" s="533" t="s">
        <v>247</v>
      </c>
      <c r="D279" s="534"/>
      <c r="E279" s="535" t="s">
        <v>119</v>
      </c>
      <c r="F279" s="36"/>
      <c r="G279" s="297"/>
      <c r="H279" s="263">
        <v>11</v>
      </c>
      <c r="I279" s="36"/>
      <c r="J279" s="36"/>
      <c r="K279" s="36"/>
      <c r="M279" s="36"/>
      <c r="N279" s="297"/>
      <c r="O279" s="53"/>
      <c r="P279" s="263">
        <v>12</v>
      </c>
      <c r="Q279" s="36"/>
      <c r="R279" s="44"/>
    </row>
    <row r="280" spans="2:21" x14ac:dyDescent="0.3">
      <c r="B280" s="10"/>
      <c r="C280" s="49"/>
      <c r="D280" s="49"/>
      <c r="E280" s="49"/>
      <c r="F280" s="49"/>
      <c r="G280" s="298"/>
      <c r="H280" s="298"/>
      <c r="I280" s="49"/>
      <c r="J280" s="49"/>
      <c r="K280" s="49"/>
      <c r="L280" s="11"/>
      <c r="M280" s="49"/>
      <c r="N280" s="298"/>
      <c r="O280" s="298"/>
      <c r="P280" s="298"/>
      <c r="Q280" s="49"/>
      <c r="R280" s="50"/>
    </row>
    <row r="281" spans="2:21" x14ac:dyDescent="0.3">
      <c r="C281" s="45"/>
      <c r="D281" s="36"/>
      <c r="E281" s="36"/>
      <c r="F281" s="36"/>
      <c r="G281" s="36"/>
      <c r="H281" s="36"/>
      <c r="I281" s="36"/>
      <c r="J281" s="36"/>
      <c r="K281" s="36"/>
      <c r="M281" s="36"/>
      <c r="N281" s="53"/>
      <c r="O281" s="53"/>
      <c r="P281" s="53"/>
      <c r="Q281" s="36"/>
      <c r="R281" s="36"/>
    </row>
    <row hidden="1" outlineLevel="1" r="282" spans="2:21" x14ac:dyDescent="0.3">
      <c r="C282" s="33" t="s">
        <v>248</v>
      </c>
      <c r="D282" s="38"/>
      <c r="E282" s="36"/>
      <c r="F282" s="521" t="s">
        <v>249</v>
      </c>
      <c r="G282" s="523"/>
      <c r="I282" s="521" t="s">
        <v>250</v>
      </c>
      <c r="J282" s="523"/>
      <c r="K282" s="38"/>
      <c r="M282" s="36"/>
      <c r="N282" s="33" t="s">
        <v>251</v>
      </c>
      <c r="O282" s="38"/>
      <c r="P282" s="36"/>
      <c r="Q282" s="36"/>
      <c r="R282" s="33" t="s">
        <v>252</v>
      </c>
      <c r="U282" s="33" t="s">
        <v>253</v>
      </c>
    </row>
    <row hidden="1" outlineLevel="1" r="283" spans="2:21" x14ac:dyDescent="0.3">
      <c r="C283" s="19" t="s">
        <v>254</v>
      </c>
      <c r="D283" s="19"/>
      <c r="E283" s="19"/>
      <c r="F283" s="19"/>
      <c r="G283" s="19" t="s">
        <v>255</v>
      </c>
      <c r="H283" s="19"/>
      <c r="I283" s="19"/>
      <c r="J283" s="19" t="s">
        <v>255</v>
      </c>
      <c r="K283" s="19"/>
      <c r="L283" s="19"/>
      <c r="M283" s="19"/>
      <c r="N283" s="19" t="s">
        <v>256</v>
      </c>
      <c r="O283" s="19"/>
      <c r="P283" s="19"/>
      <c r="Q283" s="19"/>
      <c r="R283" s="19" t="s">
        <v>201</v>
      </c>
      <c r="U283" s="19" t="s">
        <v>257</v>
      </c>
    </row>
    <row hidden="1" outlineLevel="1" r="284" spans="2:21" x14ac:dyDescent="0.3">
      <c r="C284" s="19" t="s">
        <v>258</v>
      </c>
      <c r="D284" s="19"/>
      <c r="E284" s="19"/>
      <c r="F284" s="19"/>
      <c r="G284" s="19" t="s">
        <v>201</v>
      </c>
      <c r="H284" s="19"/>
      <c r="I284" s="19"/>
      <c r="J284" s="19" t="s">
        <v>201</v>
      </c>
      <c r="K284" s="19"/>
      <c r="L284" s="19"/>
      <c r="M284" s="19"/>
      <c r="N284" s="19" t="s">
        <v>259</v>
      </c>
      <c r="O284" s="19"/>
      <c r="P284" s="19"/>
      <c r="Q284" s="19"/>
      <c r="R284" s="19" t="s">
        <v>260</v>
      </c>
      <c r="U284" s="19" t="s">
        <v>261</v>
      </c>
    </row>
    <row hidden="1" outlineLevel="1" r="285" spans="2:21" x14ac:dyDescent="0.3">
      <c r="C285" s="19" t="s">
        <v>262</v>
      </c>
      <c r="D285" s="19"/>
      <c r="E285" s="19"/>
      <c r="F285" s="19"/>
      <c r="G285" s="19" t="s">
        <v>174</v>
      </c>
      <c r="H285" s="19"/>
      <c r="I285" s="19"/>
      <c r="J285" s="19" t="s">
        <v>174</v>
      </c>
      <c r="K285" s="19"/>
      <c r="L285" s="19"/>
      <c r="M285" s="19"/>
      <c r="N285" s="19" t="s">
        <v>263</v>
      </c>
      <c r="O285" s="19"/>
      <c r="P285" s="19"/>
      <c r="Q285" s="19"/>
      <c r="R285" s="19" t="s">
        <v>255</v>
      </c>
      <c r="U285" s="19" t="s">
        <v>264</v>
      </c>
    </row>
    <row hidden="1" outlineLevel="1" r="286" spans="2:21" x14ac:dyDescent="0.3">
      <c r="C286" s="19" t="s">
        <v>265</v>
      </c>
      <c r="D286" s="19"/>
      <c r="E286" s="19"/>
      <c r="F286" s="19"/>
      <c r="G286" s="19" t="s">
        <v>266</v>
      </c>
      <c r="H286" s="19"/>
      <c r="I286" s="19"/>
      <c r="J286" s="19"/>
      <c r="K286" s="19"/>
      <c r="L286" s="19"/>
      <c r="M286" s="19"/>
      <c r="N286" s="19" t="s">
        <v>267</v>
      </c>
      <c r="O286" s="19"/>
      <c r="P286" s="19"/>
      <c r="Q286" s="19"/>
      <c r="R286" s="19" t="s">
        <v>268</v>
      </c>
      <c r="U286" s="19" t="s">
        <v>269</v>
      </c>
    </row>
    <row hidden="1" outlineLevel="1" r="287" spans="2:21" x14ac:dyDescent="0.3">
      <c r="C287" s="19"/>
      <c r="D287" s="19"/>
      <c r="E287" s="19"/>
      <c r="F287" s="19"/>
      <c r="G287" s="19"/>
      <c r="H287" s="19"/>
      <c r="I287" s="19"/>
      <c r="J287" s="19"/>
      <c r="K287" s="19"/>
      <c r="L287" s="19"/>
      <c r="M287" s="19"/>
      <c r="N287" s="19" t="s">
        <v>270</v>
      </c>
      <c r="O287" s="19"/>
      <c r="P287" s="19"/>
      <c r="Q287" s="19"/>
      <c r="R287" s="19"/>
      <c r="U287" s="19" t="s">
        <v>271</v>
      </c>
    </row>
    <row hidden="1" outlineLevel="1" r="288" spans="2:21" x14ac:dyDescent="0.3">
      <c r="C288" s="19"/>
      <c r="D288" s="19"/>
      <c r="E288" s="19"/>
      <c r="F288" s="19"/>
      <c r="G288" s="19"/>
      <c r="H288" s="19"/>
      <c r="I288" s="19"/>
      <c r="J288" s="19"/>
      <c r="K288" s="19"/>
      <c r="L288" s="19"/>
      <c r="M288" s="19"/>
      <c r="N288" s="19" t="s">
        <v>265</v>
      </c>
      <c r="O288" s="19"/>
      <c r="P288" s="19"/>
      <c r="Q288" s="19"/>
      <c r="R288" s="19"/>
      <c r="U288" s="19" t="s">
        <v>271</v>
      </c>
    </row>
    <row hidden="1" outlineLevel="1" r="289" spans="2:21" x14ac:dyDescent="0.3"/>
    <row hidden="1" outlineLevel="1" r="290" spans="2:21" x14ac:dyDescent="0.3">
      <c r="C290" s="33" t="s">
        <v>272</v>
      </c>
      <c r="D290" s="38"/>
      <c r="F290" s="521" t="s">
        <v>273</v>
      </c>
      <c r="G290" s="523"/>
      <c r="I290" s="521" t="s">
        <v>274</v>
      </c>
      <c r="J290" s="523"/>
      <c r="K290" s="38"/>
      <c r="M290" s="521" t="s">
        <v>275</v>
      </c>
      <c r="N290" s="523"/>
      <c r="O290" s="38"/>
      <c r="R290" s="521" t="s">
        <v>39</v>
      </c>
      <c r="S290" s="523"/>
    </row>
    <row hidden="1" outlineLevel="1" r="291" spans="2:21" x14ac:dyDescent="0.3">
      <c r="C291" s="19" t="s">
        <v>276</v>
      </c>
      <c r="D291" s="19"/>
      <c r="E291" s="19"/>
      <c r="F291" s="19" t="s">
        <v>187</v>
      </c>
      <c r="G291" s="19"/>
      <c r="H291" s="19"/>
      <c r="I291" s="19" t="s">
        <v>277</v>
      </c>
      <c r="J291" s="19"/>
      <c r="K291" s="19"/>
      <c r="L291" s="19"/>
      <c r="M291" s="19" t="s">
        <v>201</v>
      </c>
      <c r="N291" s="19"/>
      <c r="O291" s="19"/>
      <c r="P291" s="19"/>
      <c r="Q291" s="19"/>
      <c r="R291" s="19" t="s">
        <v>278</v>
      </c>
    </row>
    <row hidden="1" outlineLevel="1" r="292" spans="2:21" x14ac:dyDescent="0.3">
      <c r="C292" s="19" t="s">
        <v>279</v>
      </c>
      <c r="D292" s="19"/>
      <c r="E292" s="19"/>
      <c r="F292" s="19" t="s">
        <v>280</v>
      </c>
      <c r="G292" s="19"/>
      <c r="H292" s="19"/>
      <c r="I292" s="19" t="s">
        <v>281</v>
      </c>
      <c r="J292" s="19"/>
      <c r="K292" s="19"/>
      <c r="L292" s="19"/>
      <c r="M292" s="19" t="s">
        <v>255</v>
      </c>
      <c r="N292" s="19"/>
      <c r="O292" s="19"/>
      <c r="P292" s="19"/>
      <c r="Q292" s="19"/>
      <c r="R292" s="19" t="s">
        <v>282</v>
      </c>
    </row>
    <row hidden="1" outlineLevel="1" r="293" spans="2:21" x14ac:dyDescent="0.3">
      <c r="C293" s="19" t="s">
        <v>283</v>
      </c>
      <c r="D293" s="19"/>
      <c r="E293" s="19"/>
      <c r="F293" s="19" t="s">
        <v>284</v>
      </c>
      <c r="G293" s="19"/>
      <c r="H293" s="19"/>
      <c r="I293" s="19" t="s">
        <v>150</v>
      </c>
      <c r="J293" s="19"/>
      <c r="K293" s="19"/>
      <c r="L293" s="19"/>
      <c r="M293" s="19" t="s">
        <v>285</v>
      </c>
      <c r="N293" s="19"/>
      <c r="O293" s="19"/>
      <c r="P293" s="19"/>
      <c r="Q293" s="19"/>
      <c r="R293" s="19" t="s">
        <v>286</v>
      </c>
    </row>
    <row hidden="1" outlineLevel="1" r="294" spans="2:21" x14ac:dyDescent="0.3">
      <c r="C294" s="19" t="s">
        <v>287</v>
      </c>
      <c r="D294" s="19"/>
      <c r="E294" s="19"/>
      <c r="F294" s="19" t="s">
        <v>150</v>
      </c>
      <c r="G294" s="19"/>
      <c r="H294" s="19"/>
      <c r="I294" s="19" t="s">
        <v>288</v>
      </c>
      <c r="J294" s="19"/>
      <c r="K294" s="19"/>
      <c r="L294" s="19"/>
      <c r="M294" s="19" t="s">
        <v>150</v>
      </c>
      <c r="N294" s="19"/>
      <c r="O294" s="19"/>
      <c r="P294" s="19"/>
      <c r="Q294" s="19"/>
      <c r="R294" s="19" t="s">
        <v>289</v>
      </c>
    </row>
    <row hidden="1" outlineLevel="1" r="295" spans="2:21" x14ac:dyDescent="0.3"/>
    <row hidden="1" outlineLevel="1" r="296" spans="2:21" x14ac:dyDescent="0.3">
      <c r="C296" s="33" t="s">
        <v>290</v>
      </c>
      <c r="D296" s="38"/>
      <c r="G296" s="521" t="s">
        <v>246</v>
      </c>
      <c r="H296" s="523" t="s">
        <v>119</v>
      </c>
    </row>
    <row hidden="1" outlineLevel="1" r="297" spans="2:21" x14ac:dyDescent="0.3">
      <c r="C297" s="19" t="s">
        <v>291</v>
      </c>
      <c r="D297" s="19"/>
      <c r="G297" s="1" t="s">
        <v>292</v>
      </c>
    </row>
    <row hidden="1" outlineLevel="1" r="298" spans="2:21" x14ac:dyDescent="0.3">
      <c r="C298" s="19" t="s">
        <v>293</v>
      </c>
      <c r="D298" s="19"/>
      <c r="G298" s="1" t="s">
        <v>294</v>
      </c>
    </row>
    <row hidden="1" outlineLevel="1" r="299" spans="2:21" x14ac:dyDescent="0.3">
      <c r="C299" s="19" t="s">
        <v>295</v>
      </c>
      <c r="D299" s="19"/>
    </row>
    <row hidden="1" outlineLevel="1" r="300" spans="2:21" x14ac:dyDescent="0.3"/>
    <row collapsed="1" r="301" spans="2:21" x14ac:dyDescent="0.3"/>
    <row r="302" spans="2:21" x14ac:dyDescent="0.3">
      <c r="C302" s="512" t="s">
        <v>296</v>
      </c>
      <c r="D302" s="513"/>
      <c r="E302" s="513"/>
      <c r="F302" s="513"/>
      <c r="G302" s="514"/>
      <c r="H302" s="31"/>
    </row>
    <row r="303" spans="2:21" x14ac:dyDescent="0.3">
      <c r="B303" s="39"/>
      <c r="C303" s="515"/>
      <c r="D303" s="516"/>
      <c r="E303" s="516"/>
      <c r="F303" s="516"/>
      <c r="G303" s="517"/>
      <c r="H303" s="26"/>
      <c r="I303" s="6"/>
      <c r="J303" s="6"/>
      <c r="K303" s="6"/>
      <c r="L303" s="6"/>
      <c r="M303" s="6"/>
      <c r="N303" s="6"/>
      <c r="O303" s="6"/>
      <c r="P303" s="6"/>
      <c r="Q303" s="6"/>
      <c r="R303" s="7"/>
    </row>
    <row r="304" spans="2:21" x14ac:dyDescent="0.3">
      <c r="B304" s="5"/>
      <c r="R304" s="8"/>
      <c r="U304" s="1" t="s">
        <v>292</v>
      </c>
    </row>
    <row r="305" spans="2:21" x14ac:dyDescent="0.3">
      <c r="B305" s="5"/>
      <c r="C305" s="1" t="s">
        <v>297</v>
      </c>
      <c r="R305" s="8"/>
    </row>
    <row r="306" spans="2:21" x14ac:dyDescent="0.3">
      <c r="B306" s="5"/>
      <c r="G306" s="521" t="s">
        <v>241</v>
      </c>
      <c r="H306" s="523"/>
      <c r="L306" s="521" t="s">
        <v>242</v>
      </c>
      <c r="M306" s="522"/>
      <c r="N306" s="523"/>
      <c r="O306" s="38"/>
      <c r="R306" s="8"/>
      <c r="U306" s="1" t="s">
        <v>294</v>
      </c>
    </row>
    <row customHeight="1" ht="10.5" r="307" spans="2:21" x14ac:dyDescent="0.3">
      <c r="B307" s="5"/>
      <c r="G307" s="38"/>
      <c r="H307" s="38"/>
      <c r="L307" s="38"/>
      <c r="M307" s="38"/>
      <c r="N307" s="38"/>
      <c r="O307" s="38"/>
      <c r="R307" s="8"/>
    </row>
    <row r="308" spans="2:21" x14ac:dyDescent="0.3">
      <c r="B308" s="5"/>
      <c r="C308" s="158" t="s">
        <v>298</v>
      </c>
      <c r="D308" s="38"/>
      <c r="G308" s="394"/>
      <c r="H308" s="1" t="str">
        <f>+IF(G308="Si","Cartel de puente","")</f>
      </c>
      <c r="J308" s="263">
        <v>1</v>
      </c>
      <c r="L308" s="394"/>
      <c r="N308" s="1" t="str">
        <f>+IF(L308="Si","Cartel de puente","")</f>
      </c>
      <c r="P308" s="263">
        <v>2</v>
      </c>
      <c r="R308" s="8"/>
    </row>
    <row customHeight="1" ht="9" r="309" spans="2:21" x14ac:dyDescent="0.3">
      <c r="B309" s="5"/>
      <c r="G309" s="395"/>
      <c r="L309" s="395"/>
      <c r="R309" s="8"/>
    </row>
    <row r="310" spans="2:21" x14ac:dyDescent="0.3">
      <c r="B310" s="5"/>
      <c r="C310" s="158" t="s">
        <v>299</v>
      </c>
      <c r="D310" s="38"/>
      <c r="G310" s="394"/>
      <c r="H310" s="274"/>
      <c r="J310" s="263">
        <v>3</v>
      </c>
      <c r="L310" s="394"/>
      <c r="N310" s="274"/>
      <c r="P310" s="263">
        <v>4</v>
      </c>
      <c r="R310" s="8"/>
    </row>
    <row customHeight="1" ht="9" r="311" spans="2:21" x14ac:dyDescent="0.3">
      <c r="B311" s="5"/>
      <c r="G311" s="395"/>
      <c r="L311" s="395"/>
      <c r="R311" s="8"/>
    </row>
    <row r="312" spans="2:21" x14ac:dyDescent="0.3">
      <c r="B312" s="5"/>
      <c r="C312" s="158" t="s">
        <v>300</v>
      </c>
      <c r="D312" s="38"/>
      <c r="G312" s="394"/>
      <c r="H312" s="275"/>
      <c r="J312" s="263">
        <v>5</v>
      </c>
      <c r="L312" s="394"/>
      <c r="N312" s="275"/>
      <c r="P312" s="263">
        <v>6</v>
      </c>
      <c r="R312" s="8"/>
    </row>
    <row customHeight="1" ht="9" r="313" spans="2:21" x14ac:dyDescent="0.3">
      <c r="B313" s="5"/>
      <c r="G313" s="395"/>
      <c r="L313" s="395"/>
      <c r="R313" s="8"/>
    </row>
    <row r="314" spans="2:21" x14ac:dyDescent="0.3">
      <c r="B314" s="5"/>
      <c r="C314" s="158" t="s">
        <v>301</v>
      </c>
      <c r="D314" s="38"/>
      <c r="G314" s="394"/>
      <c r="H314" s="276" t="str">
        <f>+IF(G314="Si",MarcasdeCalzada,"")</f>
      </c>
      <c r="J314" s="263">
        <v>7</v>
      </c>
      <c r="L314" s="394"/>
      <c r="N314" s="276" t="str">
        <f>+IF(L314="Si",MarcasdeCalzada,"")</f>
      </c>
      <c r="P314" s="263">
        <v>8</v>
      </c>
      <c r="R314" s="8"/>
    </row>
    <row r="315" spans="2:21" x14ac:dyDescent="0.3">
      <c r="B315" s="10"/>
      <c r="C315" s="11"/>
      <c r="D315" s="11"/>
      <c r="E315" s="11"/>
      <c r="F315" s="11"/>
      <c r="G315" s="11"/>
      <c r="H315" s="11"/>
      <c r="I315" s="11"/>
      <c r="J315" s="11"/>
      <c r="K315" s="11"/>
      <c r="L315" s="11"/>
      <c r="M315" s="11"/>
      <c r="N315" s="11"/>
      <c r="O315" s="11"/>
      <c r="P315" s="11"/>
      <c r="Q315" s="11"/>
      <c r="R315" s="12"/>
    </row>
    <row r="318" spans="2:21" x14ac:dyDescent="0.3">
      <c r="C318" s="512" t="s">
        <v>302</v>
      </c>
      <c r="D318" s="513"/>
      <c r="E318" s="513"/>
      <c r="F318" s="513"/>
      <c r="G318" s="514"/>
      <c r="H318" s="31"/>
    </row>
    <row r="319" spans="2:21" x14ac:dyDescent="0.3">
      <c r="B319" s="39"/>
      <c r="C319" s="515"/>
      <c r="D319" s="516"/>
      <c r="E319" s="516"/>
      <c r="F319" s="516"/>
      <c r="G319" s="517"/>
      <c r="H319" s="26"/>
      <c r="I319" s="6"/>
      <c r="J319" s="6"/>
      <c r="K319" s="6"/>
      <c r="L319" s="6"/>
      <c r="M319" s="6"/>
      <c r="N319" s="6"/>
      <c r="O319" s="6"/>
      <c r="P319" s="6"/>
      <c r="Q319" s="6"/>
      <c r="R319" s="7"/>
    </row>
    <row r="320" spans="2:21" x14ac:dyDescent="0.3">
      <c r="B320" s="5"/>
      <c r="R320" s="8"/>
    </row>
    <row r="321" spans="2:18" x14ac:dyDescent="0.3">
      <c r="B321" s="5"/>
      <c r="C321" s="1" t="s">
        <v>303</v>
      </c>
      <c r="R321" s="8"/>
    </row>
    <row r="322" spans="2:18" x14ac:dyDescent="0.3">
      <c r="B322" s="5"/>
      <c r="R322" s="8"/>
    </row>
    <row r="323" spans="2:18" x14ac:dyDescent="0.3">
      <c r="B323" s="5"/>
      <c r="C323" s="33" t="s">
        <v>304</v>
      </c>
      <c r="D323" s="38"/>
      <c r="E323" s="396"/>
      <c r="G323" s="45" t="s">
        <v>305</v>
      </c>
      <c r="H323" s="521" t="s">
        <v>306</v>
      </c>
      <c r="I323" s="522"/>
      <c r="J323" s="523"/>
      <c r="K323" s="38"/>
      <c r="L323" s="396"/>
      <c r="N323" s="263">
        <v>1</v>
      </c>
      <c r="O323" s="1" t="s">
        <v>307</v>
      </c>
      <c r="R323" s="8"/>
    </row>
    <row customHeight="1" ht="9" r="324" spans="2:18" x14ac:dyDescent="0.3">
      <c r="B324" s="5"/>
      <c r="H324" s="397"/>
      <c r="R324" s="8"/>
    </row>
    <row r="325" spans="2:18" x14ac:dyDescent="0.3">
      <c r="B325" s="5"/>
      <c r="C325" s="33" t="s">
        <v>308</v>
      </c>
      <c r="D325" s="24"/>
      <c r="E325" s="381"/>
      <c r="F325" s="38"/>
      <c r="G325" s="263">
        <v>2</v>
      </c>
      <c r="H325" s="521" t="s">
        <v>309</v>
      </c>
      <c r="I325" s="522"/>
      <c r="J325" s="523"/>
      <c r="L325" s="32"/>
      <c r="N325" s="263">
        <v>3</v>
      </c>
      <c r="R325" s="8"/>
    </row>
    <row customHeight="1" ht="9" r="326" spans="2:18" x14ac:dyDescent="0.3">
      <c r="B326" s="5"/>
      <c r="C326" s="38"/>
      <c r="D326" s="38"/>
      <c r="H326" s="38"/>
      <c r="I326" s="38"/>
      <c r="J326" s="38"/>
      <c r="K326" s="38"/>
      <c r="R326" s="8"/>
    </row>
    <row r="327" spans="2:18" x14ac:dyDescent="0.3">
      <c r="B327" s="5"/>
      <c r="C327" s="9" t="s">
        <v>310</v>
      </c>
      <c r="D327" s="24"/>
      <c r="E327" s="32"/>
      <c r="G327" s="263">
        <v>4</v>
      </c>
      <c r="K327" s="38"/>
      <c r="R327" s="8"/>
    </row>
    <row r="328" spans="2:18" x14ac:dyDescent="0.3">
      <c r="B328" s="10"/>
      <c r="C328" s="11"/>
      <c r="D328" s="11"/>
      <c r="E328" s="11"/>
      <c r="F328" s="11"/>
      <c r="G328" s="11"/>
      <c r="H328" s="11"/>
      <c r="I328" s="11"/>
      <c r="J328" s="11"/>
      <c r="K328" s="11"/>
      <c r="L328" s="11"/>
      <c r="M328" s="11"/>
      <c r="N328" s="11"/>
      <c r="O328" s="11"/>
      <c r="P328" s="11"/>
      <c r="Q328" s="11"/>
      <c r="R328" s="12"/>
    </row>
    <row r="331" spans="2:18" x14ac:dyDescent="0.3">
      <c r="C331" s="512" t="s">
        <v>311</v>
      </c>
      <c r="D331" s="513"/>
      <c r="E331" s="513"/>
      <c r="F331" s="513"/>
      <c r="G331" s="514"/>
      <c r="H331" s="31"/>
    </row>
    <row r="332" spans="2:18" x14ac:dyDescent="0.3">
      <c r="B332" s="39"/>
      <c r="C332" s="515"/>
      <c r="D332" s="516"/>
      <c r="E332" s="516"/>
      <c r="F332" s="516"/>
      <c r="G332" s="517"/>
      <c r="H332" s="26"/>
      <c r="I332" s="6"/>
      <c r="J332" s="6"/>
      <c r="K332" s="6"/>
      <c r="L332" s="6"/>
      <c r="M332" s="6"/>
      <c r="N332" s="6"/>
      <c r="O332" s="6"/>
      <c r="P332" s="6"/>
      <c r="Q332" s="6"/>
      <c r="R332" s="7"/>
    </row>
    <row r="333" spans="2:18" x14ac:dyDescent="0.3">
      <c r="B333" s="5"/>
      <c r="R333" s="8"/>
    </row>
    <row r="334" spans="2:18" x14ac:dyDescent="0.3">
      <c r="B334" s="5"/>
      <c r="C334" s="1" t="s">
        <v>312</v>
      </c>
      <c r="R334" s="8"/>
    </row>
    <row r="335" spans="2:18" x14ac:dyDescent="0.3">
      <c r="B335" s="5"/>
      <c r="R335" s="8"/>
    </row>
    <row r="336" spans="2:18" x14ac:dyDescent="0.3">
      <c r="B336" s="5"/>
      <c r="C336" s="33" t="s">
        <v>313</v>
      </c>
      <c r="D336" s="38"/>
      <c r="E336" s="530"/>
      <c r="F336" s="531"/>
      <c r="G336" s="532"/>
      <c r="H336" s="263">
        <v>1</v>
      </c>
      <c r="J336" s="536"/>
      <c r="K336" s="537"/>
      <c r="L336" s="538"/>
      <c r="N336" s="263">
        <v>2</v>
      </c>
      <c r="R336" s="8"/>
    </row>
    <row r="337" spans="2:18" x14ac:dyDescent="0.3">
      <c r="B337" s="5"/>
      <c r="J337" s="52"/>
      <c r="K337" s="52"/>
      <c r="L337" s="52"/>
      <c r="R337" s="8"/>
    </row>
    <row r="338" spans="2:18" x14ac:dyDescent="0.3">
      <c r="B338" s="5"/>
      <c r="C338" s="40" t="s">
        <v>314</v>
      </c>
      <c r="D338" s="254"/>
      <c r="E338" s="1"/>
      <c r="J338" s="300" t="s">
        <v>315</v>
      </c>
      <c r="K338" s="52"/>
      <c r="L338" s="52"/>
      <c r="O338" s="254"/>
      <c r="R338" s="8"/>
    </row>
    <row customHeight="1" ht="9" r="339" spans="2:18" x14ac:dyDescent="0.3">
      <c r="B339" s="5"/>
      <c r="J339" s="52"/>
      <c r="K339" s="52"/>
      <c r="L339" s="52"/>
      <c r="R339" s="8"/>
    </row>
    <row customHeight="1" ht="16.5" r="340" spans="2:18" x14ac:dyDescent="0.3">
      <c r="B340" s="5"/>
      <c r="C340" s="278" t="s">
        <v>316</v>
      </c>
      <c r="D340" s="277"/>
      <c r="E340" s="282"/>
      <c r="G340" s="263"/>
      <c r="J340" s="278" t="s">
        <v>317</v>
      </c>
      <c r="K340" s="278"/>
      <c r="L340" s="278"/>
      <c r="N340" s="527"/>
      <c r="O340" s="528"/>
      <c r="P340" s="529"/>
      <c r="R340" s="264">
        <v>9</v>
      </c>
    </row>
    <row customHeight="1" ht="9" r="341" spans="2:18" x14ac:dyDescent="0.3">
      <c r="B341" s="5"/>
      <c r="J341" s="52"/>
      <c r="K341" s="52"/>
      <c r="L341" s="52"/>
      <c r="N341" s="256"/>
      <c r="R341" s="8"/>
    </row>
    <row r="342" spans="2:18" x14ac:dyDescent="0.3">
      <c r="B342" s="5"/>
      <c r="C342" s="458" t="s">
        <v>318</v>
      </c>
      <c r="E342" s="283"/>
      <c r="G342" s="263"/>
      <c r="J342" s="459" t="s">
        <v>22</v>
      </c>
      <c r="K342" s="14"/>
      <c r="L342" s="289"/>
      <c r="N342" s="263">
        <v>10</v>
      </c>
      <c r="R342" s="8"/>
    </row>
    <row customHeight="1" ht="9" r="343" spans="2:18" x14ac:dyDescent="0.3">
      <c r="B343" s="5"/>
      <c r="J343" s="52"/>
      <c r="K343" s="52"/>
      <c r="L343" s="52"/>
      <c r="R343" s="8"/>
    </row>
    <row r="344" spans="2:18" x14ac:dyDescent="0.3">
      <c r="B344" s="5"/>
      <c r="C344" s="458" t="s">
        <v>319</v>
      </c>
      <c r="E344" s="280"/>
      <c r="G344" s="263"/>
      <c r="J344" s="301" t="s">
        <v>320</v>
      </c>
      <c r="K344" s="14"/>
      <c r="L344" s="291"/>
      <c r="N344" s="263">
        <v>11</v>
      </c>
      <c r="R344" s="8"/>
    </row>
    <row customHeight="1" ht="9" r="345" spans="2:18" x14ac:dyDescent="0.3">
      <c r="B345" s="5"/>
      <c r="J345" s="52"/>
      <c r="K345" s="52"/>
      <c r="L345" s="52"/>
      <c r="R345" s="8"/>
    </row>
    <row r="346" spans="2:18" x14ac:dyDescent="0.3">
      <c r="B346" s="5"/>
      <c r="C346" s="278" t="s">
        <v>321</v>
      </c>
      <c r="E346" s="32"/>
      <c r="G346" s="263"/>
      <c r="J346" s="459" t="s">
        <v>112</v>
      </c>
      <c r="K346" s="52"/>
      <c r="L346" s="265"/>
      <c r="N346" s="263">
        <v>12</v>
      </c>
      <c r="R346" s="8"/>
    </row>
    <row customHeight="1" ht="9" r="347" spans="2:18" x14ac:dyDescent="0.3">
      <c r="B347" s="5"/>
      <c r="R347" s="8"/>
    </row>
    <row r="348" spans="2:18" x14ac:dyDescent="0.3">
      <c r="B348" s="5"/>
      <c r="C348" s="278" t="s">
        <v>322</v>
      </c>
      <c r="E348" s="32"/>
      <c r="G348" s="263"/>
      <c r="R348" s="8"/>
    </row>
    <row customHeight="1" ht="9" r="349" spans="2:18" x14ac:dyDescent="0.3">
      <c r="B349" s="5"/>
      <c r="G349" s="263"/>
      <c r="H349" s="38"/>
      <c r="I349" s="38"/>
      <c r="J349" s="38"/>
      <c r="K349" s="38"/>
      <c r="N349" s="38"/>
      <c r="R349" s="8"/>
    </row>
    <row r="350" spans="2:18" x14ac:dyDescent="0.3">
      <c r="B350" s="5"/>
      <c r="C350" s="278" t="s">
        <v>323</v>
      </c>
      <c r="D350" s="24"/>
      <c r="E350" s="32"/>
      <c r="F350" s="38"/>
      <c r="G350" s="263"/>
      <c r="H350" s="38"/>
      <c r="I350" s="38"/>
      <c r="J350" s="38"/>
      <c r="K350" s="38"/>
      <c r="N350" s="38"/>
      <c r="O350" s="38"/>
      <c r="P350" s="38"/>
      <c r="R350" s="8"/>
    </row>
    <row r="351" spans="2:18" x14ac:dyDescent="0.3">
      <c r="B351" s="10"/>
      <c r="C351" s="11"/>
      <c r="D351" s="11"/>
      <c r="E351" s="11"/>
      <c r="F351" s="11"/>
      <c r="G351" s="11"/>
      <c r="H351" s="11"/>
      <c r="I351" s="11"/>
      <c r="J351" s="11"/>
      <c r="K351" s="11"/>
      <c r="L351" s="11"/>
      <c r="M351" s="11"/>
      <c r="N351" s="11"/>
      <c r="O351" s="11"/>
      <c r="P351" s="11"/>
      <c r="Q351" s="11"/>
      <c r="R351" s="12"/>
    </row>
    <row customHeight="1" ht="16.5" r="354" spans="2:18" x14ac:dyDescent="0.3">
      <c r="C354" s="512" t="s">
        <v>324</v>
      </c>
      <c r="D354" s="513"/>
      <c r="E354" s="513"/>
      <c r="F354" s="513"/>
      <c r="G354" s="514"/>
      <c r="H354" s="31"/>
    </row>
    <row r="355" spans="2:18" x14ac:dyDescent="0.3">
      <c r="B355" s="39"/>
      <c r="C355" s="515"/>
      <c r="D355" s="516"/>
      <c r="E355" s="516"/>
      <c r="F355" s="516"/>
      <c r="G355" s="517"/>
      <c r="H355" s="26"/>
      <c r="I355" s="6"/>
      <c r="J355" s="6"/>
      <c r="K355" s="6"/>
      <c r="L355" s="6"/>
      <c r="M355" s="6"/>
      <c r="N355" s="6"/>
      <c r="O355" s="6"/>
      <c r="P355" s="6"/>
      <c r="Q355" s="6"/>
      <c r="R355" s="7"/>
    </row>
    <row r="356" spans="2:18" x14ac:dyDescent="0.3">
      <c r="B356" s="5"/>
      <c r="R356" s="8"/>
    </row>
    <row r="357" spans="2:18" x14ac:dyDescent="0.3">
      <c r="B357" s="5"/>
      <c r="C357" s="1" t="s">
        <v>325</v>
      </c>
      <c r="R357" s="8"/>
    </row>
    <row r="358" spans="2:18" x14ac:dyDescent="0.3">
      <c r="B358" s="5"/>
      <c r="H358" s="533" t="s">
        <v>326</v>
      </c>
      <c r="I358" s="534"/>
      <c r="J358" s="535"/>
      <c r="K358" s="38"/>
      <c r="L358" s="32"/>
      <c r="N358" s="263">
        <v>1</v>
      </c>
      <c r="R358" s="8"/>
    </row>
    <row r="359" spans="2:18" x14ac:dyDescent="0.3">
      <c r="B359" s="10"/>
      <c r="C359" s="11"/>
      <c r="D359" s="11"/>
      <c r="E359" s="11"/>
      <c r="F359" s="11"/>
      <c r="G359" s="11"/>
      <c r="H359" s="11"/>
      <c r="I359" s="11"/>
      <c r="J359" s="11"/>
      <c r="K359" s="11"/>
      <c r="L359" s="11"/>
      <c r="M359" s="11"/>
      <c r="N359" s="11"/>
      <c r="O359" s="11"/>
      <c r="P359" s="11"/>
      <c r="Q359" s="11"/>
      <c r="R359" s="12"/>
    </row>
    <row ht="17.25" r="360" spans="2:18" thickBot="1" x14ac:dyDescent="0.35"/>
    <row hidden="1" outlineLevel="2" r="361" spans="2:18" x14ac:dyDescent="0.3">
      <c r="C361" s="33" t="s">
        <v>298</v>
      </c>
      <c r="D361" s="38"/>
      <c r="G361" s="51" t="s">
        <v>327</v>
      </c>
      <c r="H361" s="19"/>
    </row>
    <row hidden="1" outlineLevel="2" r="362" spans="2:18" x14ac:dyDescent="0.3">
      <c r="G362" s="19"/>
      <c r="H362" s="19"/>
    </row>
    <row hidden="1" outlineLevel="2" r="363" spans="2:18" x14ac:dyDescent="0.3">
      <c r="C363" s="33" t="s">
        <v>299</v>
      </c>
      <c r="D363" s="38"/>
      <c r="F363" s="52"/>
      <c r="G363" s="51" t="s">
        <v>328</v>
      </c>
      <c r="H363" s="19"/>
    </row>
    <row hidden="1" outlineLevel="2" r="364" spans="2:18" x14ac:dyDescent="0.3">
      <c r="F364" s="52"/>
      <c r="G364" s="51" t="s">
        <v>329</v>
      </c>
      <c r="H364" s="19"/>
      <c r="N364" s="33" t="s">
        <v>317</v>
      </c>
    </row>
    <row hidden="1" outlineLevel="2" r="365" spans="2:18" x14ac:dyDescent="0.3">
      <c r="F365" s="52"/>
      <c r="G365" s="51" t="s">
        <v>330</v>
      </c>
      <c r="H365" s="19"/>
      <c r="N365" s="1" t="s">
        <v>292</v>
      </c>
    </row>
    <row hidden="1" outlineLevel="2" r="366" spans="2:18" x14ac:dyDescent="0.3">
      <c r="G366" s="51"/>
      <c r="H366" s="19"/>
      <c r="N366" s="1" t="s">
        <v>294</v>
      </c>
    </row>
    <row hidden="1" outlineLevel="2" r="367" spans="2:18" x14ac:dyDescent="0.3">
      <c r="G367" s="19"/>
      <c r="H367" s="19"/>
      <c r="N367" s="1" t="s">
        <v>331</v>
      </c>
    </row>
    <row hidden="1" outlineLevel="2" r="368" spans="2:18" x14ac:dyDescent="0.3">
      <c r="C368" s="33" t="s">
        <v>300</v>
      </c>
      <c r="D368" s="38"/>
      <c r="G368" s="51" t="s">
        <v>332</v>
      </c>
      <c r="H368" s="19"/>
    </row>
    <row hidden="1" outlineLevel="2" r="369" spans="3:17" x14ac:dyDescent="0.3">
      <c r="G369" s="51" t="s">
        <v>333</v>
      </c>
      <c r="H369" s="19"/>
    </row>
    <row hidden="1" outlineLevel="2" r="370" spans="3:17" x14ac:dyDescent="0.3">
      <c r="G370" s="51" t="s">
        <v>334</v>
      </c>
      <c r="H370" s="19"/>
    </row>
    <row hidden="1" outlineLevel="2" r="371" spans="3:17" x14ac:dyDescent="0.3">
      <c r="G371" s="51"/>
      <c r="H371" s="19"/>
    </row>
    <row hidden="1" outlineLevel="2" r="372" spans="3:17" x14ac:dyDescent="0.3">
      <c r="G372" s="19"/>
      <c r="H372" s="19"/>
    </row>
    <row hidden="1" outlineLevel="2" r="373" spans="3:17" x14ac:dyDescent="0.3">
      <c r="C373" s="33" t="s">
        <v>301</v>
      </c>
      <c r="D373" s="38"/>
      <c r="G373" s="51" t="s">
        <v>335</v>
      </c>
      <c r="H373" s="19"/>
    </row>
    <row hidden="1" outlineLevel="2" r="374" spans="3:17" x14ac:dyDescent="0.3"/>
    <row hidden="1" outlineLevel="2" r="375" spans="3:17" x14ac:dyDescent="0.3">
      <c r="G375" s="521" t="s">
        <v>336</v>
      </c>
      <c r="H375" s="523"/>
      <c r="J375" s="521" t="s">
        <v>337</v>
      </c>
      <c r="K375" s="522"/>
      <c r="L375" s="523"/>
      <c r="N375" s="521" t="s">
        <v>338</v>
      </c>
      <c r="O375" s="522"/>
      <c r="P375" s="523"/>
      <c r="Q375" s="38"/>
    </row>
    <row hidden="1" outlineLevel="2" r="376" spans="3:17" x14ac:dyDescent="0.3">
      <c r="G376" s="51" t="s">
        <v>339</v>
      </c>
      <c r="H376" s="19"/>
      <c r="I376" s="19"/>
      <c r="J376" s="51" t="s">
        <v>291</v>
      </c>
      <c r="K376" s="51"/>
      <c r="L376" s="19"/>
      <c r="M376" s="19"/>
      <c r="N376" s="51" t="s">
        <v>340</v>
      </c>
      <c r="O376" s="53"/>
    </row>
    <row hidden="1" outlineLevel="2" r="377" spans="3:17" x14ac:dyDescent="0.3">
      <c r="G377" s="51" t="s">
        <v>341</v>
      </c>
      <c r="H377" s="19"/>
      <c r="I377" s="19"/>
      <c r="J377" s="51" t="s">
        <v>293</v>
      </c>
      <c r="K377" s="51"/>
      <c r="L377" s="19"/>
      <c r="M377" s="19"/>
      <c r="N377" s="51" t="s">
        <v>342</v>
      </c>
      <c r="O377" s="53"/>
    </row>
    <row hidden="1" outlineLevel="2" r="378" spans="3:17" x14ac:dyDescent="0.3">
      <c r="G378" s="19"/>
      <c r="H378" s="19"/>
      <c r="I378" s="19"/>
      <c r="J378" s="51" t="s">
        <v>295</v>
      </c>
      <c r="K378" s="51"/>
      <c r="L378" s="19"/>
      <c r="M378" s="19"/>
      <c r="N378" s="51" t="s">
        <v>343</v>
      </c>
      <c r="O378" s="53"/>
    </row>
    <row hidden="1" outlineLevel="2" r="379" spans="3:17" x14ac:dyDescent="0.3">
      <c r="G379" s="19"/>
      <c r="H379" s="19"/>
      <c r="I379" s="19"/>
      <c r="J379" s="51" t="s">
        <v>344</v>
      </c>
      <c r="K379" s="51"/>
      <c r="L379" s="19"/>
      <c r="M379" s="19"/>
      <c r="N379" s="51" t="s">
        <v>345</v>
      </c>
      <c r="O379" s="53"/>
    </row>
    <row hidden="1" outlineLevel="2" r="380" spans="3:17" x14ac:dyDescent="0.3">
      <c r="G380" s="19"/>
      <c r="H380" s="19"/>
      <c r="I380" s="19"/>
      <c r="J380" s="19"/>
      <c r="K380" s="19"/>
      <c r="L380" s="19"/>
      <c r="M380" s="19"/>
      <c r="N380" s="51" t="s">
        <v>346</v>
      </c>
      <c r="O380" s="53"/>
    </row>
    <row hidden="1" outlineLevel="2" r="381" spans="3:17" x14ac:dyDescent="0.3">
      <c r="G381" s="19"/>
      <c r="H381" s="19"/>
      <c r="I381" s="19"/>
      <c r="J381" s="19"/>
      <c r="K381" s="19"/>
      <c r="L381" s="19"/>
      <c r="M381" s="19"/>
      <c r="N381" s="51" t="s">
        <v>150</v>
      </c>
      <c r="O381" s="53"/>
    </row>
    <row hidden="1" ht="17.25" outlineLevel="2" r="382" spans="3:17" thickBot="1" x14ac:dyDescent="0.35">
      <c r="G382" s="19"/>
      <c r="H382" s="19"/>
      <c r="I382" s="19"/>
      <c r="J382" s="19"/>
      <c r="K382" s="19"/>
      <c r="L382" s="19"/>
      <c r="M382" s="19"/>
      <c r="N382" s="51"/>
      <c r="O382" s="53"/>
    </row>
    <row collapsed="1" customHeight="1" ht="36.75" r="383" spans="3:17" thickBot="1" thickTop="1" x14ac:dyDescent="0.35">
      <c r="C383" s="56" t="s">
        <v>347</v>
      </c>
      <c r="D383" s="57"/>
      <c r="E383" s="57"/>
      <c r="F383" s="57"/>
      <c r="G383" s="58"/>
      <c r="H383" s="59"/>
      <c r="I383" s="19"/>
      <c r="J383" s="19"/>
      <c r="K383" s="19"/>
      <c r="L383" s="19"/>
      <c r="M383" s="19"/>
      <c r="N383" s="51"/>
      <c r="O383" s="53"/>
    </row>
    <row ht="17.25" r="384" spans="3:17" thickTop="1" x14ac:dyDescent="0.3"/>
    <row customHeight="1" ht="16.5" r="385" spans="2:18" x14ac:dyDescent="0.3">
      <c r="C385" s="512" t="s">
        <v>348</v>
      </c>
      <c r="D385" s="513"/>
      <c r="E385" s="513"/>
      <c r="F385" s="513"/>
      <c r="G385" s="514"/>
    </row>
    <row r="386" spans="2:18" x14ac:dyDescent="0.3">
      <c r="B386" s="13"/>
      <c r="C386" s="515"/>
      <c r="D386" s="516"/>
      <c r="E386" s="516"/>
      <c r="F386" s="516"/>
      <c r="G386" s="517"/>
      <c r="H386" s="6"/>
      <c r="I386" s="6"/>
      <c r="J386" s="6"/>
      <c r="K386" s="6"/>
      <c r="L386" s="6"/>
      <c r="M386" s="6"/>
      <c r="N386" s="6"/>
      <c r="O386" s="6"/>
      <c r="P386" s="6"/>
      <c r="Q386" s="6"/>
      <c r="R386" s="7"/>
    </row>
    <row r="387" spans="2:18" x14ac:dyDescent="0.3">
      <c r="B387" s="5"/>
      <c r="R387" s="8"/>
    </row>
    <row r="388" spans="2:18" x14ac:dyDescent="0.3">
      <c r="B388" s="5"/>
      <c r="C388" s="1" t="s">
        <v>75</v>
      </c>
      <c r="R388" s="8"/>
    </row>
    <row r="389" spans="2:18" x14ac:dyDescent="0.3">
      <c r="B389" s="5"/>
      <c r="E389" s="9" t="s">
        <v>349</v>
      </c>
      <c r="G389" s="9" t="s">
        <v>350</v>
      </c>
      <c r="J389" s="33" t="s">
        <v>206</v>
      </c>
      <c r="K389" s="3"/>
      <c r="L389" s="33" t="s">
        <v>207</v>
      </c>
      <c r="N389" s="33" t="s">
        <v>351</v>
      </c>
      <c r="Q389" s="38"/>
      <c r="R389" s="8"/>
    </row>
    <row customHeight="1" ht="9.75" r="390" spans="2:18" x14ac:dyDescent="0.3">
      <c r="B390" s="5"/>
      <c r="E390" s="24"/>
      <c r="F390" s="24"/>
      <c r="G390" s="24"/>
      <c r="I390" s="24"/>
      <c r="J390" s="38"/>
      <c r="K390" s="3"/>
      <c r="L390" s="38"/>
      <c r="N390" s="38"/>
      <c r="Q390" s="38"/>
      <c r="R390" s="8"/>
    </row>
    <row customHeight="1" ht="16.5" r="391" spans="2:18" x14ac:dyDescent="0.3">
      <c r="B391" s="5"/>
      <c r="E391" s="279">
        <v>1</v>
      </c>
      <c r="F391" s="24"/>
      <c r="G391" s="279">
        <v>2</v>
      </c>
      <c r="I391" s="24"/>
      <c r="J391" s="279">
        <v>3</v>
      </c>
      <c r="K391" s="3"/>
      <c r="L391" s="279">
        <v>4</v>
      </c>
      <c r="N391" s="279">
        <v>5</v>
      </c>
      <c r="Q391" s="38"/>
      <c r="R391" s="8"/>
    </row>
    <row customHeight="1" ht="9.75" r="392" spans="2:18" x14ac:dyDescent="0.3">
      <c r="B392" s="5"/>
      <c r="E392" s="24"/>
      <c r="F392" s="24"/>
      <c r="G392" s="24"/>
      <c r="I392" s="24"/>
      <c r="J392" s="38"/>
      <c r="K392" s="3"/>
      <c r="L392" s="38"/>
      <c r="N392" s="38"/>
      <c r="Q392" s="38"/>
      <c r="R392" s="8"/>
    </row>
    <row r="393" spans="2:18" x14ac:dyDescent="0.3">
      <c r="B393" s="5"/>
      <c r="C393" s="158" t="s">
        <v>119</v>
      </c>
      <c r="D393" s="38"/>
      <c r="E393" s="32"/>
      <c r="G393" s="32"/>
      <c r="J393" s="32"/>
      <c r="L393" s="32"/>
      <c r="N393" s="32"/>
      <c r="R393" s="8"/>
    </row>
    <row r="394" spans="2:18" x14ac:dyDescent="0.3">
      <c r="B394" s="5"/>
      <c r="R394" s="8"/>
    </row>
    <row r="395" spans="2:18" x14ac:dyDescent="0.3">
      <c r="B395" s="5"/>
      <c r="C395" s="158" t="s">
        <v>352</v>
      </c>
      <c r="D395" s="38"/>
      <c r="E395"/>
      <c r="R395" s="8"/>
    </row>
    <row r="396" spans="2:18" x14ac:dyDescent="0.3">
      <c r="B396" s="10"/>
      <c r="C396" s="11"/>
      <c r="D396" s="11"/>
      <c r="E396" s="11"/>
      <c r="F396" s="11"/>
      <c r="G396" s="11"/>
      <c r="H396" s="11"/>
      <c r="I396" s="11"/>
      <c r="J396" s="11"/>
      <c r="K396" s="11"/>
      <c r="L396" s="11"/>
      <c r="M396" s="11"/>
      <c r="N396" s="11"/>
      <c r="O396" s="11"/>
      <c r="P396" s="11"/>
      <c r="Q396" s="11"/>
      <c r="R396" s="12"/>
    </row>
    <row customHeight="1" ht="16.5" r="399" spans="2:18" x14ac:dyDescent="0.3">
      <c r="C399" s="512" t="s">
        <v>353</v>
      </c>
      <c r="D399" s="513"/>
      <c r="E399" s="513"/>
      <c r="F399" s="513"/>
      <c r="G399" s="514"/>
    </row>
    <row r="400" spans="2:18" x14ac:dyDescent="0.3">
      <c r="B400" s="13"/>
      <c r="C400" s="515"/>
      <c r="D400" s="516"/>
      <c r="E400" s="516"/>
      <c r="F400" s="516"/>
      <c r="G400" s="517"/>
      <c r="H400" s="6"/>
      <c r="I400" s="6"/>
      <c r="J400" s="6"/>
      <c r="K400" s="6"/>
      <c r="L400" s="6"/>
      <c r="M400" s="6"/>
      <c r="N400" s="6"/>
      <c r="O400" s="6"/>
      <c r="P400" s="6"/>
      <c r="Q400" s="6"/>
      <c r="R400" s="7"/>
    </row>
    <row r="401" spans="2:18" x14ac:dyDescent="0.3">
      <c r="B401" s="5"/>
      <c r="R401" s="8"/>
    </row>
    <row r="402" spans="2:18" x14ac:dyDescent="0.3">
      <c r="B402" s="5"/>
      <c r="C402" s="1" t="s">
        <v>76</v>
      </c>
      <c r="R402" s="8"/>
    </row>
    <row r="403" spans="2:18" x14ac:dyDescent="0.3">
      <c r="B403" s="5"/>
      <c r="E403" s="52"/>
      <c r="R403" s="8"/>
    </row>
    <row r="404" spans="2:18" x14ac:dyDescent="0.3">
      <c r="B404" s="5"/>
      <c r="C404" s="460" t="s">
        <v>354</v>
      </c>
      <c r="D404" s="38"/>
      <c r="E404" s="434"/>
      <c r="G404" s="263">
        <v>1</v>
      </c>
      <c r="J404" s="518" t="s">
        <v>355</v>
      </c>
      <c r="K404" s="519"/>
      <c r="L404" s="520"/>
      <c r="N404" s="284"/>
      <c r="O404" s="150"/>
      <c r="P404" s="120"/>
      <c r="R404" s="264">
        <v>2</v>
      </c>
    </row>
    <row r="405" spans="2:18" x14ac:dyDescent="0.3">
      <c r="B405" s="5"/>
      <c r="E405" s="435"/>
      <c r="G405" s="52"/>
      <c r="N405" s="52"/>
      <c r="R405" s="8"/>
    </row>
    <row r="406" spans="2:18" x14ac:dyDescent="0.3">
      <c r="B406" s="5"/>
      <c r="C406" s="460" t="s">
        <v>356</v>
      </c>
      <c r="D406" s="38"/>
      <c r="E406" s="434"/>
      <c r="F406" s="1" t="str">
        <f>+IF(E406&gt;0,"m"," ")</f>
      </c>
      <c r="G406" s="263">
        <v>3</v>
      </c>
      <c r="J406" s="518" t="s">
        <v>357</v>
      </c>
      <c r="K406" s="519"/>
      <c r="L406" s="520"/>
      <c r="N406" s="265"/>
      <c r="P406" s="263">
        <v>4</v>
      </c>
      <c r="R406" s="8"/>
    </row>
    <row r="407" spans="2:18" x14ac:dyDescent="0.3">
      <c r="B407" s="5"/>
      <c r="E407" s="435"/>
      <c r="G407" s="52"/>
      <c r="N407" s="52"/>
      <c r="R407" s="8"/>
    </row>
    <row r="408" spans="2:18" x14ac:dyDescent="0.3">
      <c r="B408" s="5"/>
      <c r="C408" s="460" t="s">
        <v>358</v>
      </c>
      <c r="D408" s="38"/>
      <c r="E408" s="434"/>
      <c r="G408" s="263">
        <v>5</v>
      </c>
      <c r="J408" s="518" t="s">
        <v>359</v>
      </c>
      <c r="K408" s="519"/>
      <c r="L408" s="520"/>
      <c r="N408" s="302"/>
      <c r="P408" s="263">
        <v>6</v>
      </c>
      <c r="R408" s="8"/>
    </row>
    <row r="409" spans="2:18" x14ac:dyDescent="0.3">
      <c r="B409" s="5"/>
      <c r="E409" s="290"/>
      <c r="N409" s="52"/>
      <c r="R409" s="8"/>
    </row>
    <row r="410" spans="2:18" x14ac:dyDescent="0.3">
      <c r="B410" s="5"/>
      <c r="C410" s="1" t="s">
        <v>360</v>
      </c>
      <c r="E410" s="290"/>
      <c r="N410" s="52"/>
      <c r="R410" s="8"/>
    </row>
    <row r="411" spans="2:18" x14ac:dyDescent="0.3">
      <c r="B411" s="5"/>
      <c r="E411" s="290"/>
      <c r="N411" s="52"/>
      <c r="R411" s="8"/>
    </row>
    <row r="412" spans="2:18" x14ac:dyDescent="0.3">
      <c r="B412" s="5"/>
      <c r="C412" s="462" t="s">
        <v>361</v>
      </c>
      <c r="D412" s="259"/>
      <c r="E412" s="434">
        <f>+E44</f>
      </c>
      <c r="G412" s="263">
        <v>7</v>
      </c>
      <c r="J412" s="518" t="s">
        <v>362</v>
      </c>
      <c r="K412" s="519"/>
      <c r="L412" s="520"/>
      <c r="N412" s="303">
        <f>+N32</f>
      </c>
      <c r="P412" s="263">
        <v>8</v>
      </c>
      <c r="R412" s="8"/>
    </row>
    <row r="413" spans="2:18" x14ac:dyDescent="0.3">
      <c r="B413" s="5"/>
      <c r="E413" s="435"/>
      <c r="N413" s="52"/>
      <c r="R413" s="8"/>
    </row>
    <row r="414" spans="2:18" x14ac:dyDescent="0.3">
      <c r="B414" s="5"/>
      <c r="C414" s="461" t="s">
        <v>363</v>
      </c>
      <c r="D414" s="121"/>
      <c r="E414" s="434"/>
      <c r="F414" s="1" t="str">
        <f>+IF(E414&gt;0,"m"," ")</f>
      </c>
      <c r="G414" s="263">
        <v>9</v>
      </c>
      <c r="N414" s="52"/>
      <c r="R414" s="8"/>
    </row>
    <row r="415" spans="2:18" x14ac:dyDescent="0.3">
      <c r="B415" s="5"/>
      <c r="C415" s="121"/>
      <c r="D415" s="121"/>
      <c r="E415" s="435"/>
      <c r="J415" s="38"/>
      <c r="K415" s="38"/>
      <c r="L415" s="38"/>
      <c r="R415" s="8"/>
    </row>
    <row r="416" spans="2:18" x14ac:dyDescent="0.3">
      <c r="B416" s="5"/>
      <c r="C416" s="461" t="s">
        <v>364</v>
      </c>
      <c r="D416" s="121"/>
      <c r="E416" s="434"/>
      <c r="F416" s="1" t="str">
        <f>+IF(E416&gt;0,"m"," ")</f>
      </c>
      <c r="G416" s="263">
        <v>10</v>
      </c>
      <c r="K416" s="38"/>
      <c r="L416" s="38"/>
      <c r="R416" s="8"/>
    </row>
    <row r="417" spans="2:18" x14ac:dyDescent="0.3">
      <c r="B417" s="5"/>
      <c r="C417" s="121"/>
      <c r="D417" s="121"/>
      <c r="J417" s="38"/>
      <c r="K417" s="38"/>
      <c r="L417" s="38"/>
      <c r="R417" s="8"/>
    </row>
    <row r="418" spans="2:18" x14ac:dyDescent="0.3">
      <c r="B418" s="10"/>
      <c r="C418" s="11"/>
      <c r="D418" s="11"/>
      <c r="E418" s="11"/>
      <c r="F418" s="11"/>
      <c r="G418" s="11"/>
      <c r="H418" s="11"/>
      <c r="I418" s="11"/>
      <c r="J418" s="11"/>
      <c r="K418" s="11"/>
      <c r="L418" s="11"/>
      <c r="M418" s="11"/>
      <c r="N418" s="11"/>
      <c r="O418" s="11"/>
      <c r="P418" s="11"/>
      <c r="Q418" s="11"/>
      <c r="R418" s="12"/>
    </row>
    <row customHeight="1" ht="16.5" r="420" spans="2:18" x14ac:dyDescent="0.3">
      <c r="C420" s="512" t="s">
        <v>365</v>
      </c>
      <c r="D420" s="513"/>
      <c r="E420" s="513"/>
      <c r="F420" s="513"/>
      <c r="G420" s="514"/>
    </row>
    <row r="421" spans="2:18" x14ac:dyDescent="0.3">
      <c r="B421" s="13"/>
      <c r="C421" s="515"/>
      <c r="D421" s="516"/>
      <c r="E421" s="516"/>
      <c r="F421" s="516"/>
      <c r="G421" s="517"/>
      <c r="H421" s="6"/>
      <c r="I421" s="6"/>
      <c r="J421" s="6"/>
      <c r="K421" s="6"/>
      <c r="L421" s="6"/>
      <c r="M421" s="6"/>
      <c r="N421" s="6"/>
      <c r="O421" s="6"/>
      <c r="P421" s="6"/>
      <c r="Q421" s="6"/>
      <c r="R421" s="7"/>
    </row>
    <row r="422" spans="2:18" x14ac:dyDescent="0.3">
      <c r="B422" s="5"/>
      <c r="C422" s="271"/>
      <c r="D422" s="271"/>
      <c r="E422" s="271"/>
      <c r="F422" s="271"/>
      <c r="G422" s="271"/>
      <c r="R422" s="8"/>
    </row>
    <row r="423" spans="2:18" x14ac:dyDescent="0.3">
      <c r="B423" s="5"/>
      <c r="C423" s="1" t="s">
        <v>104</v>
      </c>
      <c r="D423" s="271"/>
      <c r="E423" s="271"/>
      <c r="F423" s="271"/>
      <c r="G423" s="271"/>
      <c r="R423" s="8"/>
    </row>
    <row r="424" spans="2:18" x14ac:dyDescent="0.3">
      <c r="B424" s="5"/>
      <c r="R424" s="8"/>
    </row>
    <row r="425" spans="2:18" x14ac:dyDescent="0.3">
      <c r="B425" s="5"/>
      <c r="C425" s="158" t="s">
        <v>366</v>
      </c>
      <c r="D425" s="38"/>
      <c r="E425" s="32"/>
      <c r="G425" s="263">
        <v>1</v>
      </c>
      <c r="H425" s="524" t="s">
        <v>367</v>
      </c>
      <c r="I425" s="525"/>
      <c r="J425" s="526"/>
      <c r="K425" s="38"/>
      <c r="L425" s="280"/>
      <c r="N425" s="263">
        <v>2</v>
      </c>
      <c r="R425" s="8"/>
    </row>
    <row r="426" spans="2:18" x14ac:dyDescent="0.3">
      <c r="B426" s="5"/>
      <c r="G426" s="52"/>
      <c r="R426" s="8"/>
    </row>
    <row r="427" spans="2:18" x14ac:dyDescent="0.3">
      <c r="B427" s="5"/>
      <c r="C427" s="158" t="s">
        <v>368</v>
      </c>
      <c r="D427" s="38"/>
      <c r="E427" s="32"/>
      <c r="G427" s="263">
        <v>3</v>
      </c>
      <c r="H427" s="524" t="s">
        <v>369</v>
      </c>
      <c r="I427" s="525"/>
      <c r="J427" s="526"/>
      <c r="K427" s="38"/>
      <c r="L427" s="280"/>
      <c r="N427" s="263">
        <v>4</v>
      </c>
      <c r="R427" s="8"/>
    </row>
    <row r="428" spans="2:18" x14ac:dyDescent="0.3">
      <c r="B428" s="5"/>
      <c r="G428" s="52"/>
      <c r="R428" s="8"/>
    </row>
    <row r="429" spans="2:18" x14ac:dyDescent="0.3">
      <c r="B429" s="5"/>
      <c r="C429" s="158" t="s">
        <v>370</v>
      </c>
      <c r="D429" s="38"/>
      <c r="E429" s="32"/>
      <c r="G429" s="263">
        <v>5</v>
      </c>
      <c r="H429" s="524" t="s">
        <v>371</v>
      </c>
      <c r="I429" s="525"/>
      <c r="J429" s="526"/>
      <c r="K429" s="38"/>
      <c r="L429" s="280"/>
      <c r="N429" s="263">
        <v>6</v>
      </c>
      <c r="R429" s="8"/>
    </row>
    <row r="430" spans="2:18" x14ac:dyDescent="0.3">
      <c r="B430" s="5"/>
      <c r="R430" s="8"/>
    </row>
    <row r="431" spans="2:18" x14ac:dyDescent="0.3">
      <c r="B431" s="5"/>
      <c r="C431" s="158" t="s">
        <v>372</v>
      </c>
      <c r="D431" s="38"/>
      <c r="E431" s="32"/>
      <c r="G431" s="263">
        <v>7</v>
      </c>
      <c r="H431" s="524" t="s">
        <v>373</v>
      </c>
      <c r="I431" s="525"/>
      <c r="J431" s="526"/>
      <c r="K431" s="38"/>
      <c r="L431" s="280"/>
      <c r="N431" s="263">
        <v>8</v>
      </c>
      <c r="R431" s="8"/>
    </row>
    <row r="432" spans="2:18" x14ac:dyDescent="0.3">
      <c r="B432" s="10"/>
      <c r="C432" s="11"/>
      <c r="D432" s="11"/>
      <c r="E432" s="11"/>
      <c r="F432" s="11"/>
      <c r="G432" s="11"/>
      <c r="H432" s="11"/>
      <c r="I432" s="11"/>
      <c r="J432" s="11"/>
      <c r="K432" s="11"/>
      <c r="L432" s="11"/>
      <c r="M432" s="11"/>
      <c r="N432" s="11"/>
      <c r="O432" s="11"/>
      <c r="P432" s="11"/>
      <c r="Q432" s="11"/>
      <c r="R432" s="12"/>
    </row>
    <row hidden="1" outlineLevel="1" r="433" spans="2:18" x14ac:dyDescent="0.3"/>
    <row hidden="1" outlineLevel="1" r="434" spans="2:18" x14ac:dyDescent="0.3">
      <c r="H434" s="521" t="s">
        <v>374</v>
      </c>
      <c r="I434" s="522"/>
      <c r="J434" s="522"/>
      <c r="K434" s="523"/>
    </row>
    <row hidden="1" outlineLevel="1" r="435" spans="2:18" x14ac:dyDescent="0.3">
      <c r="C435" s="1" t="s">
        <v>292</v>
      </c>
      <c r="H435" s="51" t="s">
        <v>340</v>
      </c>
    </row>
    <row hidden="1" outlineLevel="1" r="436" spans="2:18" x14ac:dyDescent="0.3">
      <c r="C436" s="1" t="s">
        <v>294</v>
      </c>
      <c r="H436" s="51" t="s">
        <v>342</v>
      </c>
    </row>
    <row hidden="1" outlineLevel="1" r="437" spans="2:18" x14ac:dyDescent="0.3">
      <c r="H437" s="51" t="s">
        <v>343</v>
      </c>
    </row>
    <row hidden="1" outlineLevel="1" r="438" spans="2:18" x14ac:dyDescent="0.3">
      <c r="H438" s="51" t="s">
        <v>345</v>
      </c>
    </row>
    <row hidden="1" outlineLevel="1" r="439" spans="2:18" x14ac:dyDescent="0.3">
      <c r="H439" s="51" t="s">
        <v>346</v>
      </c>
    </row>
    <row hidden="1" outlineLevel="1" r="440" spans="2:18" x14ac:dyDescent="0.3">
      <c r="H440" s="51" t="s">
        <v>375</v>
      </c>
    </row>
    <row hidden="1" outlineLevel="1" r="441" spans="2:18" x14ac:dyDescent="0.3">
      <c r="H441" s="51" t="s">
        <v>150</v>
      </c>
    </row>
    <row hidden="1" outlineLevel="1" r="442" spans="2:18" x14ac:dyDescent="0.3"/>
    <row collapsed="1" customHeight="1" hidden="1" ht="16.5" r="443" spans="2:18" x14ac:dyDescent="0.3">
      <c r="C443" s="512" t="s">
        <v>376</v>
      </c>
      <c r="D443" s="513"/>
      <c r="E443" s="513"/>
      <c r="F443" s="513"/>
      <c r="G443" s="514"/>
    </row>
    <row hidden="1" r="444" spans="2:18" x14ac:dyDescent="0.3">
      <c r="B444" s="13"/>
      <c r="C444" s="515"/>
      <c r="D444" s="516"/>
      <c r="E444" s="516"/>
      <c r="F444" s="516"/>
      <c r="G444" s="517"/>
      <c r="H444" s="6"/>
      <c r="I444" s="6"/>
      <c r="J444" s="6"/>
      <c r="K444" s="6"/>
      <c r="L444" s="6"/>
      <c r="M444" s="6"/>
      <c r="N444" s="6"/>
      <c r="O444" s="6"/>
      <c r="P444" s="6"/>
      <c r="Q444" s="6"/>
      <c r="R444" s="7"/>
    </row>
    <row hidden="1" r="445" spans="2:18" x14ac:dyDescent="0.3">
      <c r="B445" s="5"/>
      <c r="R445" s="8"/>
    </row>
    <row hidden="1" r="446" spans="2:18" x14ac:dyDescent="0.3">
      <c r="B446" s="5"/>
      <c r="C446" s="1" t="s">
        <v>129</v>
      </c>
      <c r="R446" s="8"/>
    </row>
    <row hidden="1" r="447" spans="2:18" x14ac:dyDescent="0.3">
      <c r="B447" s="5"/>
      <c r="R447" s="8"/>
    </row>
    <row hidden="1" r="448" spans="2:18" x14ac:dyDescent="0.3">
      <c r="B448" s="5"/>
      <c r="C448" s="119" t="s">
        <v>377</v>
      </c>
      <c r="D448" s="260"/>
      <c r="E448" s="151"/>
      <c r="G448" s="263">
        <v>1</v>
      </c>
      <c r="R448" s="8"/>
    </row>
    <row hidden="1" r="449" spans="2:24" x14ac:dyDescent="0.3">
      <c r="B449" s="5"/>
      <c r="R449" s="8"/>
    </row>
    <row hidden="1" r="450" spans="2:24" x14ac:dyDescent="0.3">
      <c r="B450" s="5"/>
      <c r="C450" s="119" t="s">
        <v>378</v>
      </c>
      <c r="D450" s="260"/>
      <c r="E450" s="152"/>
      <c r="F450" s="150"/>
      <c r="G450" s="150"/>
      <c r="H450" s="150"/>
      <c r="I450" s="150"/>
      <c r="J450" s="150"/>
      <c r="K450" s="150"/>
      <c r="L450" s="120"/>
      <c r="N450" s="263"/>
      <c r="R450" s="8"/>
    </row>
    <row hidden="1" r="451" spans="2:24" x14ac:dyDescent="0.3">
      <c r="B451" s="5"/>
      <c r="R451" s="8"/>
    </row>
    <row customHeight="1" hidden="1" ht="30.75" r="452" spans="2:24" x14ac:dyDescent="0.3">
      <c r="B452" s="5"/>
      <c r="R452" s="8"/>
    </row>
    <row customHeight="1" hidden="1" ht="48" r="453" spans="2:24" x14ac:dyDescent="0.3">
      <c r="B453" s="5"/>
      <c r="R453" s="8"/>
    </row>
    <row customHeight="1" hidden="1" ht="48" r="454" spans="2:24" x14ac:dyDescent="0.3">
      <c r="B454" s="5"/>
      <c r="R454" s="8"/>
    </row>
    <row customHeight="1" hidden="1" ht="48" r="455" spans="2:24" x14ac:dyDescent="0.3">
      <c r="B455" s="5"/>
      <c r="R455" s="8"/>
      <c r="V455" s="1" t="s">
        <v>379</v>
      </c>
      <c r="W455" s="1" t="s">
        <v>380</v>
      </c>
      <c r="X455" s="1" t="s">
        <v>381</v>
      </c>
    </row>
    <row customHeight="1" hidden="1" ht="48" r="456" spans="2:24" x14ac:dyDescent="0.3">
      <c r="B456" s="5"/>
      <c r="R456" s="8"/>
      <c r="U456" s="1"/>
      <c r="V456" s="1"/>
      <c r="W456" s="1">
        <f>+(V456+X456)/2</f>
      </c>
      <c r="X456" s="1"/>
    </row>
    <row customHeight="1" hidden="1" ht="48" r="457" spans="2:24" x14ac:dyDescent="0.3">
      <c r="B457" s="5"/>
      <c r="R457" s="8"/>
      <c r="U457" s="1"/>
      <c r="V457" s="1"/>
      <c r="W457" s="1">
        <f>+(V457+X457)/2</f>
      </c>
      <c r="X457" s="1"/>
    </row>
    <row customHeight="1" hidden="1" ht="30.75" r="458" spans="2:24" x14ac:dyDescent="0.3">
      <c r="B458" s="5"/>
      <c r="R458" s="8"/>
      <c r="U458" s="1"/>
      <c r="V458" s="1"/>
      <c r="W458" s="1">
        <f>+(V458+X458)/2</f>
      </c>
      <c r="X458" s="1"/>
    </row>
    <row hidden="1" r="459" spans="2:24" x14ac:dyDescent="0.3">
      <c r="B459" s="5"/>
      <c r="R459" s="8"/>
    </row>
    <row hidden="1" r="460" spans="2:24" x14ac:dyDescent="0.3">
      <c r="B460" s="5"/>
      <c r="C460" s="17" t="s">
        <v>382</v>
      </c>
      <c r="D460" s="46"/>
      <c r="E460" s="18"/>
      <c r="G460" s="33" t="s">
        <v>383</v>
      </c>
      <c r="I460" s="24"/>
      <c r="J460" s="33" t="s">
        <v>384</v>
      </c>
      <c r="N460" s="33" t="s">
        <v>385</v>
      </c>
      <c r="R460" s="8"/>
      <c r="U460" s="33" t="s">
        <v>386</v>
      </c>
    </row>
    <row hidden="1" r="461" spans="2:24" x14ac:dyDescent="0.3">
      <c r="B461" s="5"/>
      <c r="R461" s="8"/>
    </row>
    <row hidden="1" r="462" spans="2:24" x14ac:dyDescent="0.3">
      <c r="B462" s="5"/>
      <c r="C462" s="425"/>
      <c r="E462" s="263">
        <v>3</v>
      </c>
      <c r="G462" s="425"/>
      <c r="H462" s="263">
        <v>4</v>
      </c>
      <c r="J462" s="425"/>
      <c r="L462" s="263">
        <v>5</v>
      </c>
      <c r="N462" s="425"/>
      <c r="P462" s="263">
        <v>6</v>
      </c>
      <c r="R462" s="8"/>
      <c r="U462" s="401"/>
      <c r="W462" s="263"/>
    </row>
    <row hidden="1" r="463" spans="2:24" x14ac:dyDescent="0.3">
      <c r="B463" s="5"/>
      <c r="C463" s="426"/>
      <c r="G463" s="426"/>
      <c r="J463" s="426"/>
      <c r="N463" s="426"/>
      <c r="R463" s="8"/>
      <c r="U463" s="402"/>
      <c r="W463"/>
    </row>
    <row hidden="1" r="464" spans="2:24" x14ac:dyDescent="0.3">
      <c r="B464" s="5"/>
      <c r="C464" s="426"/>
      <c r="G464" s="426"/>
      <c r="J464" s="426"/>
      <c r="N464" s="426"/>
      <c r="R464" s="8"/>
      <c r="U464" s="402"/>
      <c r="W464"/>
    </row>
    <row hidden="1" r="465" spans="2:21" x14ac:dyDescent="0.3">
      <c r="B465" s="5"/>
      <c r="C465" s="426"/>
      <c r="G465" s="426"/>
      <c r="J465" s="426"/>
      <c r="N465" s="426"/>
      <c r="R465" s="8"/>
      <c r="U465" s="402"/>
      <c r="W465"/>
    </row>
    <row hidden="1" r="466" spans="2:21" x14ac:dyDescent="0.3">
      <c r="B466" s="5"/>
      <c r="C466" s="426"/>
      <c r="G466" s="426"/>
      <c r="J466" s="426"/>
      <c r="N466" s="426"/>
      <c r="R466" s="8"/>
      <c r="U466" s="402"/>
      <c r="W466"/>
    </row>
    <row hidden="1" r="467" spans="2:21" x14ac:dyDescent="0.3">
      <c r="B467" s="5"/>
      <c r="C467" s="426"/>
      <c r="G467" s="426"/>
      <c r="J467" s="426"/>
      <c r="N467" s="426"/>
      <c r="R467" s="8"/>
      <c r="U467" s="402"/>
      <c r="W467"/>
    </row>
    <row hidden="1" r="468" spans="2:21" x14ac:dyDescent="0.3">
      <c r="B468" s="5"/>
      <c r="C468" s="426"/>
      <c r="G468" s="426"/>
      <c r="J468" s="426"/>
      <c r="N468" s="426"/>
      <c r="R468" s="8"/>
      <c r="U468" s="402"/>
      <c r="W468"/>
    </row>
    <row hidden="1" r="469" spans="2:21" x14ac:dyDescent="0.3">
      <c r="B469" s="5"/>
      <c r="C469" s="426"/>
      <c r="G469" s="426"/>
      <c r="J469" s="426"/>
      <c r="N469" s="426"/>
      <c r="R469" s="8"/>
      <c r="U469" s="402"/>
      <c r="W469"/>
    </row>
    <row hidden="1" r="470" spans="2:21" x14ac:dyDescent="0.3">
      <c r="B470" s="5"/>
      <c r="C470" s="426"/>
      <c r="G470" s="426"/>
      <c r="J470" s="426"/>
      <c r="N470" s="426"/>
      <c r="R470" s="8"/>
      <c r="U470" s="402"/>
      <c r="W470"/>
    </row>
    <row hidden="1" r="471" spans="2:21" x14ac:dyDescent="0.3">
      <c r="B471" s="5"/>
      <c r="C471" s="426"/>
      <c r="G471" s="426"/>
      <c r="J471" s="426"/>
      <c r="N471" s="426"/>
      <c r="R471" s="8"/>
      <c r="U471" s="402"/>
      <c r="W471"/>
    </row>
    <row hidden="1" r="472" spans="2:21" x14ac:dyDescent="0.3">
      <c r="B472" s="5"/>
      <c r="C472" s="426"/>
      <c r="G472" s="426"/>
      <c r="J472" s="426"/>
      <c r="N472" s="426"/>
      <c r="R472" s="8"/>
      <c r="U472" s="402"/>
      <c r="W472"/>
    </row>
    <row hidden="1" r="473" spans="2:21" x14ac:dyDescent="0.3">
      <c r="B473" s="5"/>
      <c r="C473" s="426"/>
      <c r="G473" s="426"/>
      <c r="J473" s="426"/>
      <c r="N473" s="426"/>
      <c r="R473" s="8"/>
      <c r="U473" s="402"/>
      <c r="W473"/>
    </row>
    <row hidden="1" r="474" spans="2:21" x14ac:dyDescent="0.3">
      <c r="B474" s="5"/>
      <c r="C474" s="426"/>
      <c r="G474" s="426"/>
      <c r="J474" s="426"/>
      <c r="N474" s="426"/>
      <c r="R474" s="8"/>
      <c r="U474" s="402"/>
      <c r="W474"/>
    </row>
    <row hidden="1" r="475" spans="2:21" x14ac:dyDescent="0.3">
      <c r="B475" s="5"/>
      <c r="C475" s="426"/>
      <c r="G475" s="426"/>
      <c r="J475" s="426"/>
      <c r="N475" s="426"/>
      <c r="R475" s="8"/>
      <c r="U475" s="402"/>
      <c r="W475"/>
    </row>
    <row hidden="1" r="476" spans="2:21" x14ac:dyDescent="0.3">
      <c r="B476" s="5"/>
      <c r="C476" s="427"/>
      <c r="G476" s="427"/>
      <c r="J476" s="427"/>
      <c r="N476" s="427"/>
      <c r="R476" s="8"/>
      <c r="U476" s="403"/>
      <c r="W476"/>
    </row>
    <row hidden="1" r="477" spans="2:21" x14ac:dyDescent="0.3">
      <c r="B477" s="5"/>
      <c r="R477" s="8"/>
    </row>
    <row hidden="1" r="478" spans="2:21" x14ac:dyDescent="0.3">
      <c r="B478" s="5"/>
      <c r="C478" s="153" t="s">
        <v>387</v>
      </c>
      <c r="D478" s="261"/>
      <c r="E478" s="155"/>
      <c r="G478" s="32"/>
      <c r="H478" s="263">
        <v>7</v>
      </c>
      <c r="J478" s="9" t="s">
        <v>112</v>
      </c>
      <c r="L478" s="527"/>
      <c r="M478" s="528"/>
      <c r="N478" s="529"/>
      <c r="P478" s="263">
        <v>8</v>
      </c>
      <c r="R478" s="8"/>
    </row>
    <row hidden="1" r="479" spans="2:21" x14ac:dyDescent="0.3">
      <c r="B479" s="10"/>
      <c r="C479" s="11"/>
      <c r="D479" s="11"/>
      <c r="E479" s="11"/>
      <c r="F479" s="11"/>
      <c r="G479" s="11"/>
      <c r="H479" s="11"/>
      <c r="I479" s="11"/>
      <c r="J479" s="11"/>
      <c r="K479" s="11"/>
      <c r="L479" s="11"/>
      <c r="M479" s="11"/>
      <c r="N479" s="11"/>
      <c r="O479" s="11"/>
      <c r="P479" s="11"/>
      <c r="Q479" s="11"/>
      <c r="R479" s="12"/>
    </row>
    <row hidden="1" r="481" spans="3:17" x14ac:dyDescent="0.3"/>
    <row hidden="1" r="482" spans="3:17" x14ac:dyDescent="0.3">
      <c r="H482" s="1" t="s">
        <v>379</v>
      </c>
      <c r="J482" s="1" t="s">
        <v>381</v>
      </c>
      <c r="P482" s="19" t="s">
        <v>388</v>
      </c>
      <c r="Q482" s="19"/>
    </row>
    <row hidden="1" r="483" spans="3:17" x14ac:dyDescent="0.3">
      <c r="E483" s="1">
        <v>1</v>
      </c>
      <c r="G483"/>
      <c r="H483"/>
      <c r="J483"/>
      <c r="L483"/>
      <c r="P483" s="1" t="s">
        <v>292</v>
      </c>
    </row>
    <row hidden="1" r="484" spans="3:17" x14ac:dyDescent="0.3">
      <c r="C484" s="1"/>
      <c r="E484" s="1">
        <v>2</v>
      </c>
      <c r="G484"/>
      <c r="H484"/>
      <c r="J484"/>
      <c r="L484"/>
      <c r="P484" s="1" t="s">
        <v>294</v>
      </c>
    </row>
    <row hidden="1" r="485" spans="3:17" x14ac:dyDescent="0.3">
      <c r="E485" s="1">
        <v>3</v>
      </c>
      <c r="G485"/>
      <c r="H485"/>
      <c r="J485"/>
      <c r="L485"/>
    </row>
    <row hidden="1" r="486" spans="3:17" x14ac:dyDescent="0.3">
      <c r="E486" s="1">
        <v>4</v>
      </c>
      <c r="G486"/>
      <c r="H486"/>
      <c r="J486"/>
      <c r="L486"/>
      <c r="P486" s="1" t="s">
        <v>225</v>
      </c>
    </row>
    <row hidden="1" r="487" spans="3:17" x14ac:dyDescent="0.3">
      <c r="E487" s="1">
        <v>5</v>
      </c>
      <c r="G487"/>
      <c r="H487"/>
      <c r="J487"/>
      <c r="L487"/>
    </row>
    <row hidden="1" r="488" spans="3:17" x14ac:dyDescent="0.3">
      <c r="E488" s="1">
        <v>6</v>
      </c>
      <c r="G488"/>
      <c r="H488"/>
      <c r="J488"/>
      <c r="L488"/>
    </row>
    <row hidden="1" r="489" spans="3:17" x14ac:dyDescent="0.3">
      <c r="E489" s="1">
        <v>7</v>
      </c>
      <c r="G489"/>
      <c r="H489"/>
      <c r="J489"/>
      <c r="L489"/>
    </row>
    <row hidden="1" r="490" spans="3:17" x14ac:dyDescent="0.3">
      <c r="E490" s="1">
        <v>8</v>
      </c>
      <c r="G490"/>
      <c r="H490"/>
      <c r="J490"/>
      <c r="L490"/>
    </row>
    <row hidden="1" r="491" spans="3:17" x14ac:dyDescent="0.3">
      <c r="E491" s="1">
        <v>9</v>
      </c>
      <c r="G491"/>
      <c r="H491"/>
      <c r="J491"/>
      <c r="L491"/>
    </row>
    <row hidden="1" r="492" spans="3:17" x14ac:dyDescent="0.3">
      <c r="E492" s="1">
        <v>10</v>
      </c>
      <c r="G492"/>
      <c r="H492"/>
      <c r="J492"/>
      <c r="L492"/>
    </row>
    <row hidden="1" r="493" spans="3:17" x14ac:dyDescent="0.3">
      <c r="E493" s="1">
        <v>11</v>
      </c>
      <c r="G493"/>
      <c r="H493"/>
      <c r="J493"/>
      <c r="L493"/>
    </row>
    <row hidden="1" r="494" spans="3:17" x14ac:dyDescent="0.3">
      <c r="E494" s="1">
        <v>12</v>
      </c>
      <c r="G494"/>
      <c r="H494"/>
      <c r="J494"/>
      <c r="L494"/>
    </row>
    <row hidden="1" r="495" spans="3:17" x14ac:dyDescent="0.3">
      <c r="E495" s="1">
        <v>13</v>
      </c>
      <c r="G495"/>
      <c r="H495"/>
      <c r="J495"/>
      <c r="L495"/>
    </row>
    <row hidden="1" r="496" spans="3:17" x14ac:dyDescent="0.3">
      <c r="G496"/>
      <c r="H496"/>
      <c r="J496"/>
      <c r="L496"/>
    </row>
    <row hidden="1" r="497" spans="7:12" x14ac:dyDescent="0.3">
      <c r="G497"/>
      <c r="H497"/>
      <c r="J497"/>
      <c r="L497"/>
    </row>
    <row hidden="1" r="498" spans="7:12" x14ac:dyDescent="0.3"/>
    <row hidden="1" r="499" spans="7:12" x14ac:dyDescent="0.3"/>
    <row hidden="1" r="500" spans="7:12" x14ac:dyDescent="0.3"/>
    <row hidden="1" r="501" spans="7:12" x14ac:dyDescent="0.3"/>
  </sheetData>
  <mergeCells count="109">
    <mergeCell ref="J10:L10"/>
    <mergeCell ref="J12:L12"/>
    <mergeCell ref="L478:N478"/>
    <mergeCell ref="C7:G8"/>
    <mergeCell ref="C25:G26"/>
    <mergeCell ref="N49:P49"/>
    <mergeCell ref="R51:T51"/>
    <mergeCell ref="J36:L36"/>
    <mergeCell ref="J38:L38"/>
    <mergeCell ref="J40:L40"/>
    <mergeCell ref="N36:P36"/>
    <mergeCell ref="J55:L55"/>
    <mergeCell ref="G56:H56"/>
    <mergeCell ref="J56:L56"/>
    <mergeCell ref="G57:H57"/>
    <mergeCell ref="J57:L57"/>
    <mergeCell ref="J42:L42"/>
    <mergeCell ref="J46:L46"/>
    <mergeCell ref="G49:H49"/>
    <mergeCell ref="J49:L49"/>
    <mergeCell ref="J44:L44"/>
    <mergeCell ref="C92:G93"/>
    <mergeCell ref="C115:G116"/>
    <mergeCell ref="J119:K119"/>
    <mergeCell ref="N119:O119"/>
    <mergeCell ref="C58:E58"/>
    <mergeCell ref="C73:G74"/>
    <mergeCell ref="C60:G61"/>
    <mergeCell ref="E81:G81"/>
    <mergeCell ref="N81:P81"/>
    <mergeCell ref="C121:E121"/>
    <mergeCell ref="C125:E125"/>
    <mergeCell ref="E132:R132"/>
    <mergeCell ref="F144:H144"/>
    <mergeCell ref="M144:P144"/>
    <mergeCell ref="F161:H161"/>
    <mergeCell ref="J161:L161"/>
    <mergeCell ref="N161:P161"/>
    <mergeCell ref="C169:G170"/>
    <mergeCell ref="C188:E188"/>
    <mergeCell ref="G203:L203"/>
    <mergeCell ref="F205:H205"/>
    <mergeCell ref="P205:R205"/>
    <mergeCell ref="G213:L213"/>
    <mergeCell ref="F215:H215"/>
    <mergeCell ref="P215:R215"/>
    <mergeCell ref="C222:G223"/>
    <mergeCell ref="J228:L228"/>
    <mergeCell ref="J232:L232"/>
    <mergeCell ref="H325:J325"/>
    <mergeCell ref="J234:L234"/>
    <mergeCell ref="E240:F240"/>
    <mergeCell ref="E242:F242"/>
    <mergeCell ref="E244:F244"/>
    <mergeCell ref="E246:F246"/>
    <mergeCell ref="C250:C252"/>
    <mergeCell ref="E250:F250"/>
    <mergeCell ref="E234:G234"/>
    <mergeCell ref="E256:F256"/>
    <mergeCell ref="E252:F252"/>
    <mergeCell ref="E258:F258"/>
    <mergeCell ref="C263:G264"/>
    <mergeCell ref="G267:H267"/>
    <mergeCell ref="N267:P267"/>
    <mergeCell ref="C256:C258"/>
    <mergeCell ref="R290:S290"/>
    <mergeCell ref="C269:E269"/>
    <mergeCell ref="C271:E271"/>
    <mergeCell ref="C273:E273"/>
    <mergeCell ref="C275:E275"/>
    <mergeCell ref="C277:E277"/>
    <mergeCell ref="C279:E279"/>
    <mergeCell ref="F282:G282"/>
    <mergeCell ref="I282:J282"/>
    <mergeCell ref="F290:G290"/>
    <mergeCell ref="H434:K434"/>
    <mergeCell ref="E336:G336"/>
    <mergeCell ref="I290:J290"/>
    <mergeCell ref="H323:J323"/>
    <mergeCell ref="C331:G332"/>
    <mergeCell ref="C354:G355"/>
    <mergeCell ref="H358:J358"/>
    <mergeCell ref="G375:H375"/>
    <mergeCell ref="J375:L375"/>
    <mergeCell ref="J336:L336"/>
    <mergeCell ref="C1:E3"/>
    <mergeCell ref="N1:R3"/>
    <mergeCell ref="F1:M3"/>
    <mergeCell ref="C4:R5"/>
    <mergeCell ref="C443:G444"/>
    <mergeCell ref="J412:L412"/>
    <mergeCell ref="C420:G421"/>
    <mergeCell ref="N375:P375"/>
    <mergeCell ref="C385:G386"/>
    <mergeCell ref="J408:L408"/>
    <mergeCell ref="C399:G400"/>
    <mergeCell ref="J404:L404"/>
    <mergeCell ref="J406:L406"/>
    <mergeCell ref="H425:J425"/>
    <mergeCell ref="H427:J427"/>
    <mergeCell ref="H429:J429"/>
    <mergeCell ref="H431:J431"/>
    <mergeCell ref="N340:P340"/>
    <mergeCell ref="M290:N290"/>
    <mergeCell ref="G296:H296"/>
    <mergeCell ref="C302:G303"/>
    <mergeCell ref="G306:H306"/>
    <mergeCell ref="L306:N306"/>
    <mergeCell ref="C318:G319"/>
  </mergeCells>
  <dataValidations count="50">
    <dataValidation allowBlank="1" showErrorMessage="1" showInputMessage="1" sqref="L393 G393 Q393 N393 E393 J393" type="list" xr:uid="{00000000-0002-0000-0000-000000000000}">
      <formula1>$H$435:$H$441</formula1>
    </dataValidation>
    <dataValidation allowBlank="1" showErrorMessage="1" showInputMessage="1" sqref="L344" type="list" xr:uid="{00000000-0002-0000-0000-000001000000}">
      <formula1>Subestructura</formula1>
    </dataValidation>
    <dataValidation allowBlank="1" showErrorMessage="1" showInputMessage="1" sqref="G310 G314 E348:E350 L314 G312 L312 L349:L350 L310 L308 G308" type="list" xr:uid="{00000000-0002-0000-0000-000002000000}">
      <formula1>$U$304:$U$306</formula1>
    </dataValidation>
    <dataValidation allowBlank="1" showErrorMessage="1" showInputMessage="1" sqref="E346" type="list" xr:uid="{00000000-0002-0000-0000-000003000000}">
      <formula1>Nat.Suelo</formula1>
    </dataValidation>
    <dataValidation allowBlank="1" showErrorMessage="1" showInputMessage="1" sqref="E230" type="list" xr:uid="{00000000-0002-0000-0000-000004000000}">
      <formula1>TipoBarandas</formula1>
    </dataValidation>
    <dataValidation allowBlank="1" showErrorMessage="1" showInputMessage="1" sqref="E232" type="list" xr:uid="{00000000-0002-0000-0000-000005000000}">
      <formula1>MatBaranda</formula1>
    </dataValidation>
    <dataValidation allowBlank="1" showErrorMessage="1" showInputMessage="1" sqref="Q250" type="list" xr:uid="{00000000-0002-0000-0000-000006000000}">
      <formula1>$C$291:$C$294</formula1>
    </dataValidation>
    <dataValidation allowBlank="1" showErrorMessage="1" showInputMessage="1" sqref="J252:J254 H252:H255 H259 Q252:Q254 L253:L254" type="list" xr:uid="{00000000-0002-0000-0000-000007000000}">
      <formula1>MatJuntas</formula1>
    </dataValidation>
    <dataValidation allowBlank="1" showErrorMessage="1" showInputMessage="1" sqref="Q240 H240 J240" type="list" xr:uid="{00000000-0002-0000-0000-000008000000}">
      <formula1>TipoApoyos</formula1>
    </dataValidation>
    <dataValidation allowBlank="1" showErrorMessage="1" showInputMessage="1" sqref="H242 J242 Q242" type="list" xr:uid="{00000000-0002-0000-0000-000009000000}">
      <formula1>$R$283:$R$286</formula1>
    </dataValidation>
    <dataValidation allowBlank="1" showErrorMessage="1" showInputMessage="1" sqref="E79 N79" type="list" xr:uid="{00000000-0002-0000-0000-00000A000000}">
      <formula1>$U$75:$U$98</formula1>
    </dataValidation>
    <dataValidation allowBlank="1" showErrorMessage="1" showInputMessage="1" sqref="G176 N176:O176 J176:K176" type="list" xr:uid="{00000000-0002-0000-0000-00000B000000}">
      <formula1>$C$206:$C$209</formula1>
    </dataValidation>
    <dataValidation allowBlank="1" showErrorMessage="1" showInputMessage="1" sqref="G178 N178:O178 J178:K178" type="list" xr:uid="{00000000-0002-0000-0000-00000C000000}">
      <formula1>$G$206:$G$210</formula1>
    </dataValidation>
    <dataValidation allowBlank="1" showErrorMessage="1" showInputMessage="1" sqref="G182 N182:O182 J182:K182" type="list" xr:uid="{00000000-0002-0000-0000-00000D000000}">
      <formula1>$L$206:$L$209</formula1>
    </dataValidation>
    <dataValidation allowBlank="1" showErrorMessage="1" showInputMessage="1" sqref="G184 N184:O184 J184:K184" type="list" xr:uid="{00000000-0002-0000-0000-00000E000000}">
      <formula1>$P$206:$P$209</formula1>
    </dataValidation>
    <dataValidation allowBlank="1" showErrorMessage="1" showInputMessage="1" sqref="G192 L192" type="list" xr:uid="{00000000-0002-0000-0000-00000F000000}">
      <formula1>$C$216:$C$218</formula1>
    </dataValidation>
    <dataValidation allowBlank="1" showErrorMessage="1" showInputMessage="1" sqref="G194 L194" type="list" xr:uid="{00000000-0002-0000-0000-000010000000}">
      <formula1>$G$216:$G$217</formula1>
    </dataValidation>
    <dataValidation allowBlank="1" showErrorMessage="1" showInputMessage="1" sqref="G198 L198" type="list" xr:uid="{00000000-0002-0000-0000-000011000000}">
      <formula1>$L$216:$L$217</formula1>
    </dataValidation>
    <dataValidation allowBlank="1" showErrorMessage="1" showInputMessage="1" sqref="G200 L200" type="list" xr:uid="{00000000-0002-0000-0000-000012000000}">
      <formula1>$P$216:$P$217</formula1>
    </dataValidation>
    <dataValidation allowBlank="1" showErrorMessage="1" showInputMessage="1" sqref="N234:O236" type="list" xr:uid="{00000000-0002-0000-0000-000013000000}">
      <formula1>MatVeredas</formula1>
    </dataValidation>
    <dataValidation allowBlank="1" showErrorMessage="1" showInputMessage="1" sqref="H256" type="list" xr:uid="{00000000-0002-0000-0000-000014000000}">
      <formula1>$I$291:$I$294</formula1>
    </dataValidation>
    <dataValidation allowBlank="1" showErrorMessage="1" showInputMessage="1" sqref="G271 N271" type="list" xr:uid="{00000000-0002-0000-0000-000015000000}">
      <formula1>$R$291:$R$294</formula1>
    </dataValidation>
    <dataValidation allowBlank="1" showErrorMessage="1" showInputMessage="1" sqref="G279 N279" type="list" xr:uid="{00000000-0002-0000-0000-000016000000}">
      <formula1>Visibilidad</formula1>
    </dataValidation>
    <dataValidation allowBlank="1" showErrorMessage="1" showInputMessage="1" sqref="E310 H310 N310" type="list" xr:uid="{00000000-0002-0000-0000-000017000000}">
      <formula1>Señalpreventiva</formula1>
    </dataValidation>
    <dataValidation allowBlank="1" showErrorMessage="1" showInputMessage="1" sqref="L358" type="list" xr:uid="{00000000-0002-0000-0000-000018000000}">
      <formula1>$J$376:$J$379</formula1>
    </dataValidation>
    <dataValidation allowBlank="1" showErrorMessage="1" showInputMessage="1" sqref="H312 N312" type="list" xr:uid="{00000000-0002-0000-0000-000019000000}">
      <formula1>SeñalReglamentaria</formula1>
    </dataValidation>
    <dataValidation allowBlank="1" showErrorMessage="1" showInputMessage="1" sqref="P258:Q259 H258" type="list" xr:uid="{00000000-0002-0000-0000-00001A000000}">
      <formula1>MatDrenaje</formula1>
    </dataValidation>
    <dataValidation allowBlank="1" showErrorMessage="1" showInputMessage="1" sqref="E425 E431 E429 E427" type="list" xr:uid="{00000000-0002-0000-0000-00001B000000}">
      <formula1>$C$435:$C$436</formula1>
    </dataValidation>
    <dataValidation allowBlank="1" showErrorMessage="1" showInputMessage="1" sqref="G478" type="list" xr:uid="{00000000-0002-0000-0000-00001C000000}">
      <formula1>$P$483:$P$484</formula1>
    </dataValidation>
    <dataValidation allowBlank="1" showErrorMessage="1" showInputMessage="1" sqref="G277 N277" type="list" xr:uid="{00000000-0002-0000-0000-00001D000000}">
      <formula1>$G$297:$G$298</formula1>
    </dataValidation>
    <dataValidation allowBlank="1" showErrorMessage="1" showInputMessage="1" sqref="Q340 N340" type="list" xr:uid="{00000000-0002-0000-0000-00001E000000}">
      <formula1>$N$365:$N$367</formula1>
    </dataValidation>
    <dataValidation allowBlank="1" showErrorMessage="1" showInputMessage="1" sqref="J99" type="list" xr:uid="{00000000-0002-0000-0000-00001F000000}">
      <formula1>TipoVigas</formula1>
    </dataValidation>
    <dataValidation allowBlank="1" showErrorMessage="1" showInputMessage="1" sqref="J103" type="list" xr:uid="{00000000-0002-0000-0000-000020000000}">
      <formula1>MatVigas</formula1>
    </dataValidation>
    <dataValidation allowBlank="1" showErrorMessage="1" showInputMessage="1" sqref="J105" type="list" xr:uid="{00000000-0002-0000-0000-000021000000}">
      <formula1>FormaViga</formula1>
    </dataValidation>
    <dataValidation allowBlank="1" showErrorMessage="1" showInputMessage="1" sqref="E83 N83" type="list" xr:uid="{00000000-0002-0000-0000-000022000000}">
      <formula1>Cond.Borde</formula1>
    </dataValidation>
    <dataValidation allowBlank="1" showErrorMessage="1" showInputMessage="1" sqref="E85 N85" type="list" xr:uid="{00000000-0002-0000-0000-000023000000}">
      <formula1>Mat.Predo</formula1>
    </dataValidation>
    <dataValidation allowBlank="1" showErrorMessage="1" showInputMessage="1" sqref="E77 N77" type="list" xr:uid="{00000000-0002-0000-0000-000024000000}">
      <formula1>$C$137:$C$140</formula1>
    </dataValidation>
    <dataValidation allowBlank="1" showErrorMessage="1" showInputMessage="1" sqref="N44" type="list" xr:uid="{00000000-0002-0000-0000-000025000000}">
      <formula1>$G$50:$G$54</formula1>
    </dataValidation>
    <dataValidation allowBlank="1" showErrorMessage="1" showInputMessage="1" sqref="N46:O46" type="list" xr:uid="{00000000-0002-0000-0000-000026000000}">
      <formula1>CondAmb</formula1>
    </dataValidation>
    <dataValidation allowBlank="1" showErrorMessage="1" showInputMessage="1" sqref="P20" type="list" xr:uid="{00000000-0002-0000-0000-000027000000}">
      <formula1>$R$52:$R$54</formula1>
    </dataValidation>
    <dataValidation allowBlank="1" showErrorMessage="1" showInputMessage="1" sqref="J121:K121 L346 N121:O121" type="list" xr:uid="{00000000-0002-0000-0000-000028000000}">
      <formula1>TipoElevación</formula1>
    </dataValidation>
    <dataValidation allowBlank="1" showErrorMessage="1" showInputMessage="1" sqref="J123:K123 N123:O123" type="list" xr:uid="{00000000-0002-0000-0000-000029000000}">
      <formula1>MaterialEleva</formula1>
    </dataValidation>
    <dataValidation allowBlank="1" showErrorMessage="1" showInputMessage="1" sqref="J125:K125 N125:O125" type="list" xr:uid="{00000000-0002-0000-0000-00002A000000}">
      <formula1>TipoCimentación</formula1>
    </dataValidation>
    <dataValidation allowBlank="1" showErrorMessage="1" showInputMessage="1" sqref="J127:K129 N127:O129" type="list" xr:uid="{00000000-0002-0000-0000-00002B000000}">
      <formula1>MaterialCimenta</formula1>
    </dataValidation>
    <dataValidation allowBlank="1" showErrorMessage="1" showInputMessage="1" sqref="G50:H50" type="list" xr:uid="{00000000-0002-0000-0000-00002C000000}">
      <formula1>$G$50</formula1>
    </dataValidation>
    <dataValidation allowBlank="1" showErrorMessage="1" showInputMessage="1" sqref="E28" type="list" xr:uid="{00000000-0002-0000-0000-00002D000000}">
      <formula1>$C$50:$C$57</formula1>
    </dataValidation>
    <dataValidation allowBlank="1" showErrorMessage="1" showInputMessage="1" sqref="N36" type="list" xr:uid="{00000000-0002-0000-0000-00002E000000}">
      <formula1>$J$50:$J$54</formula1>
    </dataValidation>
    <dataValidation allowBlank="1" showErrorMessage="1" showInputMessage="1" sqref="E65" type="list" xr:uid="{00000000-0002-0000-0000-00002F000000}">
      <formula1>$C$134:$C$136</formula1>
    </dataValidation>
    <dataValidation allowBlank="1" showErrorMessage="1" showInputMessage="1" sqref="E99" type="list" xr:uid="{00000000-0002-0000-0000-000030000000}">
      <formula1>Materiallosa</formula1>
    </dataValidation>
    <dataValidation allowBlank="1" showErrorMessage="1" showInputMessage="1" sqref="E103" type="list" xr:uid="{00000000-0002-0000-0000-000031000000}">
      <formula1>SuperDesgaste</formula1>
    </dataValidation>
  </dataValidations>
  <printOptions horizontalCentered="1"/>
  <pageMargins bottom="0.94488188976377963" footer="0.31496062992125984" header="0.31496062992125984" left="0.31496062992125984" right="0.31496062992125984" top="0.74803149606299213"/>
  <pageSetup orientation="portrait" paperSize="9" r:id="rId1" scale="56"/>
  <rowBreaks count="2" manualBreakCount="2">
    <brk id="142" man="1" max="16"/>
    <brk id="219" man="1" max="16"/>
  </rowBreaks>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1:M55"/>
  <sheetViews>
    <sheetView topLeftCell="A32" view="pageBreakPreview" workbookViewId="0" zoomScale="120" zoomScaleNormal="100" zoomScaleSheetLayoutView="120">
      <selection activeCell="J23" sqref="J23"/>
    </sheetView>
  </sheetViews>
  <sheetFormatPr baseColWidth="10" defaultRowHeight="15" x14ac:dyDescent="0.25"/>
  <cols>
    <col customWidth="1" max="1" min="1" width="2.85546875"/>
    <col customWidth="1" max="2" min="2" width="10.85546875"/>
    <col customWidth="1" max="6" min="4" width="11"/>
    <col customWidth="1" max="7" min="7" width="4.28515625"/>
  </cols>
  <sheetData>
    <row ht="15.75" r="1" spans="1:12" thickBot="1" x14ac:dyDescent="0.3"/>
    <row r="2" spans="1:12" x14ac:dyDescent="0.25">
      <c r="A2" s="598"/>
      <c r="B2" s="599"/>
      <c r="C2" s="600"/>
      <c r="D2" s="607" t="s">
        <v>0</v>
      </c>
      <c r="E2" s="608"/>
      <c r="F2" s="608"/>
      <c r="G2" s="608"/>
      <c r="H2" s="609"/>
      <c r="I2" s="598"/>
      <c r="J2" s="599"/>
      <c r="K2" s="600"/>
    </row>
    <row r="3" spans="1:12" x14ac:dyDescent="0.25">
      <c r="A3" s="601"/>
      <c r="B3" s="602"/>
      <c r="C3" s="603"/>
      <c r="D3" s="610"/>
      <c r="E3" s="611"/>
      <c r="F3" s="611"/>
      <c r="G3" s="611"/>
      <c r="H3" s="612"/>
      <c r="I3" s="601"/>
      <c r="J3" s="602"/>
      <c r="K3" s="603"/>
    </row>
    <row ht="15.75" r="4" spans="1:12" thickBot="1" x14ac:dyDescent="0.3">
      <c r="A4" s="604"/>
      <c r="B4" s="605"/>
      <c r="C4" s="606"/>
      <c r="D4" s="613"/>
      <c r="E4" s="614"/>
      <c r="F4" s="614"/>
      <c r="G4" s="614"/>
      <c r="H4" s="615"/>
      <c r="I4" s="604"/>
      <c r="J4" s="605"/>
      <c r="K4" s="606"/>
    </row>
    <row r="5" spans="1:12" x14ac:dyDescent="0.25">
      <c r="A5" s="616" t="s">
        <v>1</v>
      </c>
      <c r="B5" s="617"/>
      <c r="C5" s="617"/>
      <c r="D5" s="617"/>
      <c r="E5" s="617"/>
      <c r="F5" s="617"/>
      <c r="G5" s="617"/>
      <c r="H5" s="617"/>
      <c r="I5" s="617"/>
      <c r="J5" s="617"/>
      <c r="K5" s="618"/>
    </row>
    <row customHeight="1" ht="12.75" r="6" spans="1:12" thickBot="1" x14ac:dyDescent="0.3">
      <c r="A6" s="619"/>
      <c r="B6" s="620"/>
      <c r="C6" s="620"/>
      <c r="D6" s="620"/>
      <c r="E6" s="620"/>
      <c r="F6" s="620"/>
      <c r="G6" s="620"/>
      <c r="H6" s="620"/>
      <c r="I6" s="620"/>
      <c r="J6" s="620"/>
      <c r="K6" s="621"/>
    </row>
    <row ht="18.75" r="8" spans="1:12" x14ac:dyDescent="0.3">
      <c r="B8" s="463" t="s">
        <v>389</v>
      </c>
      <c r="C8" s="464"/>
      <c r="D8" s="118"/>
      <c r="E8" s="118"/>
      <c r="F8" s="118"/>
      <c r="G8" s="118"/>
      <c r="H8" s="118"/>
      <c r="I8" s="118"/>
      <c r="J8" s="118"/>
      <c r="K8" s="118"/>
    </row>
    <row ht="18.75" r="9" spans="1:12" x14ac:dyDescent="0.3">
      <c r="B9" s="378" t="s">
        <v>390</v>
      </c>
      <c r="C9" s="378" t="str">
        <f>+'A-D.- FICHA'!J10</f>
      </c>
      <c r="D9" s="118"/>
      <c r="E9" s="118"/>
      <c r="F9" s="118"/>
      <c r="G9" s="118"/>
      <c r="H9" s="118"/>
      <c r="I9" s="118"/>
      <c r="J9" s="118"/>
      <c r="K9" s="118"/>
    </row>
    <row customHeight="1" ht="18.75" r="10" spans="1:12" x14ac:dyDescent="0.25">
      <c r="B10" t="s">
        <v>391</v>
      </c>
      <c r="C10">
        <f>+'A-D.- FICHA'!P16</f>
      </c>
      <c r="H10" t="s">
        <v>392</v>
      </c>
      <c r="I10" s="379">
        <f>+'A-D.- FICHA'!P18</f>
      </c>
    </row>
    <row customHeight="1" ht="12" r="11" spans="1:12" x14ac:dyDescent="0.25"/>
    <row ht="16.5" r="12" spans="1:12" x14ac:dyDescent="0.3">
      <c r="A12" s="1"/>
      <c r="B12" s="622" t="s">
        <v>393</v>
      </c>
      <c r="C12" s="623"/>
      <c r="D12" s="623"/>
      <c r="E12" s="623"/>
      <c r="F12" s="623"/>
      <c r="G12" s="624"/>
      <c r="H12" s="1"/>
      <c r="I12" s="1"/>
      <c r="J12" s="1"/>
      <c r="K12" s="1"/>
      <c r="L12" s="1"/>
    </row>
    <row customHeight="1" ht="9.75" r="13" spans="1:12" x14ac:dyDescent="0.3">
      <c r="A13" s="13"/>
      <c r="B13" s="625"/>
      <c r="C13" s="626"/>
      <c r="D13" s="626"/>
      <c r="E13" s="626"/>
      <c r="F13" s="626"/>
      <c r="G13" s="627"/>
      <c r="H13" s="6"/>
      <c r="I13" s="6"/>
      <c r="J13" s="6"/>
      <c r="K13" s="7"/>
      <c r="L13" s="1"/>
    </row>
    <row ht="16.5" r="14" spans="1:12" x14ac:dyDescent="0.3">
      <c r="A14" s="5"/>
      <c r="C14" s="1"/>
      <c r="D14" s="1"/>
      <c r="E14" s="1"/>
      <c r="F14" s="1"/>
      <c r="G14" s="1"/>
      <c r="H14" s="1"/>
      <c r="I14" s="1"/>
      <c r="J14" s="1"/>
      <c r="K14" s="8"/>
      <c r="L14" s="1"/>
    </row>
    <row ht="16.5" r="15" spans="1:12" x14ac:dyDescent="0.3">
      <c r="A15" s="5"/>
      <c r="B15" s="1"/>
      <c r="C15" s="1"/>
      <c r="D15" s="1"/>
      <c r="E15" s="1"/>
      <c r="F15" s="1"/>
      <c r="G15" s="1"/>
      <c r="H15" s="1"/>
      <c r="I15" s="1"/>
      <c r="J15" s="1"/>
      <c r="K15" s="8"/>
      <c r="L15" s="1"/>
    </row>
    <row ht="16.5" r="16" spans="1:12" x14ac:dyDescent="0.3">
      <c r="A16" s="5"/>
      <c r="B16" s="1"/>
      <c r="C16" s="1"/>
      <c r="D16" s="1"/>
      <c r="E16" s="1"/>
      <c r="F16" s="1"/>
      <c r="G16" s="1"/>
      <c r="H16" s="1"/>
      <c r="I16" s="1"/>
      <c r="J16" s="1"/>
      <c r="K16" s="8"/>
      <c r="L16" s="1"/>
    </row>
    <row ht="16.5" r="17" spans="1:12" x14ac:dyDescent="0.3">
      <c r="A17" s="5"/>
      <c r="B17" s="1"/>
      <c r="C17" s="1"/>
      <c r="D17" s="1"/>
      <c r="E17" s="1"/>
      <c r="F17" s="1"/>
      <c r="G17" s="1"/>
      <c r="H17" s="1"/>
      <c r="I17" s="1"/>
      <c r="J17" s="1"/>
      <c r="K17" s="8"/>
      <c r="L17" s="1"/>
    </row>
    <row ht="16.5" r="18" spans="1:12" x14ac:dyDescent="0.3">
      <c r="A18" s="5"/>
      <c r="B18" s="1"/>
      <c r="C18" s="1"/>
      <c r="D18" s="1"/>
      <c r="E18" s="1"/>
      <c r="F18" s="1"/>
      <c r="G18" s="1"/>
      <c r="H18" s="1"/>
      <c r="I18" s="1"/>
      <c r="J18" s="1"/>
      <c r="K18" s="8"/>
      <c r="L18" s="1"/>
    </row>
    <row ht="16.5" r="19" spans="1:12" x14ac:dyDescent="0.3">
      <c r="A19" s="5"/>
      <c r="B19" s="1"/>
      <c r="C19" s="1"/>
      <c r="D19" s="1"/>
      <c r="E19" s="1"/>
      <c r="F19" s="1"/>
      <c r="G19" s="1"/>
      <c r="H19" s="1"/>
      <c r="I19" s="1"/>
      <c r="J19" s="1"/>
      <c r="K19" s="8"/>
      <c r="L19" s="1"/>
    </row>
    <row ht="16.5" r="20" spans="1:12" x14ac:dyDescent="0.3">
      <c r="A20" s="5"/>
      <c r="B20" s="1"/>
      <c r="C20" s="1"/>
      <c r="D20" s="1"/>
      <c r="E20" s="1"/>
      <c r="F20" s="1"/>
      <c r="G20" s="1"/>
      <c r="H20" s="1"/>
      <c r="I20" s="1"/>
      <c r="J20" s="1"/>
      <c r="K20" s="8"/>
      <c r="L20" s="1"/>
    </row>
    <row ht="16.5" r="21" spans="1:12" x14ac:dyDescent="0.3">
      <c r="A21" s="5"/>
      <c r="B21" s="1"/>
      <c r="C21" s="1"/>
      <c r="D21" s="1"/>
      <c r="E21" s="1"/>
      <c r="F21" s="1"/>
      <c r="G21" s="1"/>
      <c r="H21" s="1"/>
      <c r="I21" s="1"/>
      <c r="J21" s="1"/>
      <c r="K21" s="8"/>
      <c r="L21" s="1"/>
    </row>
    <row ht="16.5" r="22" spans="1:12" x14ac:dyDescent="0.3">
      <c r="A22" s="5"/>
      <c r="B22" s="1"/>
      <c r="C22" s="1"/>
      <c r="D22" s="1"/>
      <c r="E22" s="1"/>
      <c r="F22" s="1"/>
      <c r="G22" s="1"/>
      <c r="H22" s="1"/>
      <c r="I22" s="1"/>
      <c r="J22" s="1"/>
      <c r="K22" s="8"/>
      <c r="L22" s="1"/>
    </row>
    <row ht="16.5" r="23" spans="1:12" x14ac:dyDescent="0.3">
      <c r="A23" s="5"/>
      <c r="B23" s="1"/>
      <c r="C23" s="1"/>
      <c r="D23" s="1"/>
      <c r="E23" s="1"/>
      <c r="F23" s="1"/>
      <c r="G23" s="1"/>
      <c r="H23" s="1"/>
      <c r="I23" s="1"/>
      <c r="J23" s="1"/>
      <c r="K23" s="8"/>
      <c r="L23" s="1"/>
    </row>
    <row ht="16.5" r="24" spans="1:12" x14ac:dyDescent="0.3">
      <c r="A24" s="10"/>
      <c r="B24" s="11"/>
      <c r="C24" s="11"/>
      <c r="D24" s="11"/>
      <c r="E24" s="11"/>
      <c r="F24" s="11"/>
      <c r="G24" s="11"/>
      <c r="H24" s="11"/>
      <c r="I24" s="11"/>
      <c r="J24" s="11"/>
      <c r="K24" s="12"/>
      <c r="L24" s="1"/>
    </row>
    <row ht="16.5" r="26" spans="1:12" x14ac:dyDescent="0.3">
      <c r="A26" s="1"/>
      <c r="B26" s="622" t="s">
        <v>394</v>
      </c>
      <c r="C26" s="623"/>
      <c r="D26" s="623"/>
      <c r="E26" s="623"/>
      <c r="F26" s="623"/>
      <c r="G26" s="624"/>
      <c r="H26" s="1"/>
      <c r="I26" s="1"/>
      <c r="J26" s="1"/>
      <c r="K26" s="1"/>
    </row>
    <row customHeight="1" ht="10.5" r="27" spans="1:12" x14ac:dyDescent="0.3">
      <c r="A27" s="13"/>
      <c r="B27" s="625"/>
      <c r="C27" s="626"/>
      <c r="D27" s="626"/>
      <c r="E27" s="626"/>
      <c r="F27" s="626"/>
      <c r="G27" s="627"/>
      <c r="H27" s="6"/>
      <c r="I27" s="6"/>
      <c r="J27" s="6"/>
      <c r="K27" s="7"/>
    </row>
    <row ht="16.5" r="28" spans="1:12" x14ac:dyDescent="0.3">
      <c r="A28" s="5"/>
      <c r="C28" s="1"/>
      <c r="D28" s="1"/>
      <c r="E28" s="1"/>
      <c r="F28" s="1"/>
      <c r="G28" s="1"/>
      <c r="H28" s="1"/>
      <c r="I28" s="1"/>
      <c r="J28" s="1"/>
      <c r="K28" s="8"/>
    </row>
    <row ht="16.5" r="29" spans="1:12" x14ac:dyDescent="0.3">
      <c r="A29" s="5"/>
      <c r="B29" s="1"/>
      <c r="C29" s="1"/>
      <c r="D29" s="1"/>
      <c r="E29" s="1"/>
      <c r="F29" s="1"/>
      <c r="G29" s="1"/>
      <c r="H29" s="1"/>
      <c r="I29" s="1"/>
      <c r="J29" s="1"/>
      <c r="K29" s="8"/>
    </row>
    <row ht="16.5" r="30" spans="1:12" x14ac:dyDescent="0.3">
      <c r="A30" s="5"/>
      <c r="B30" s="1"/>
      <c r="C30" s="1"/>
      <c r="D30" s="1"/>
      <c r="E30" s="1"/>
      <c r="F30" s="1"/>
      <c r="G30" s="1"/>
      <c r="H30" s="1"/>
      <c r="I30" s="1"/>
      <c r="J30" s="1"/>
      <c r="K30" s="8"/>
    </row>
    <row ht="16.5" r="31" spans="1:12" x14ac:dyDescent="0.3">
      <c r="A31" s="5"/>
      <c r="B31" s="1"/>
      <c r="C31" s="1"/>
      <c r="D31" s="1"/>
      <c r="E31" s="1"/>
      <c r="F31" s="1"/>
      <c r="G31" s="1"/>
      <c r="H31" s="1"/>
      <c r="I31" s="1"/>
      <c r="J31" s="1"/>
      <c r="K31" s="8"/>
    </row>
    <row ht="16.5" r="32" spans="1:12" x14ac:dyDescent="0.3">
      <c r="A32" s="5"/>
      <c r="B32" s="1"/>
      <c r="C32" s="1"/>
      <c r="D32" s="1"/>
      <c r="E32" s="1"/>
      <c r="F32" s="1"/>
      <c r="G32" s="1"/>
      <c r="H32" s="1"/>
      <c r="I32" s="1"/>
      <c r="J32" s="1"/>
      <c r="K32" s="8"/>
    </row>
    <row ht="16.5" r="33" spans="1:13" x14ac:dyDescent="0.3">
      <c r="A33" s="5"/>
      <c r="B33" s="1"/>
      <c r="C33" s="1"/>
      <c r="D33" s="1"/>
      <c r="E33" s="1"/>
      <c r="F33" s="1"/>
      <c r="G33" s="1"/>
      <c r="H33" s="1"/>
      <c r="I33" s="1"/>
      <c r="J33" s="1"/>
      <c r="K33" s="8"/>
    </row>
    <row ht="16.5" r="34" spans="1:13" x14ac:dyDescent="0.3">
      <c r="A34" s="5"/>
      <c r="B34" s="1"/>
      <c r="C34" s="1"/>
      <c r="D34" s="1"/>
      <c r="E34" s="1"/>
      <c r="F34" s="1"/>
      <c r="G34" s="1"/>
      <c r="H34" s="1"/>
      <c r="I34" s="1"/>
      <c r="J34" s="1"/>
      <c r="K34" s="8"/>
    </row>
    <row ht="16.5" r="35" spans="1:13" x14ac:dyDescent="0.3">
      <c r="A35" s="5"/>
      <c r="B35" s="1"/>
      <c r="C35" s="1"/>
      <c r="D35" s="1"/>
      <c r="E35" s="1"/>
      <c r="F35" s="1"/>
      <c r="G35" s="1"/>
      <c r="H35" s="1"/>
      <c r="I35" s="1"/>
      <c r="J35" s="1"/>
      <c r="K35" s="8"/>
    </row>
    <row ht="16.5" r="36" spans="1:13" x14ac:dyDescent="0.3">
      <c r="A36" s="5"/>
      <c r="B36" s="1"/>
      <c r="C36" s="1"/>
      <c r="D36" s="1"/>
      <c r="E36" s="1"/>
      <c r="F36" s="1"/>
      <c r="G36" s="1"/>
      <c r="H36" s="1"/>
      <c r="I36" s="1"/>
      <c r="J36" s="1"/>
      <c r="K36" s="8"/>
    </row>
    <row ht="16.5" r="37" spans="1:13" x14ac:dyDescent="0.3">
      <c r="A37" s="5"/>
      <c r="B37" s="1"/>
      <c r="C37" s="1"/>
      <c r="D37" s="1"/>
      <c r="E37" s="1"/>
      <c r="F37" s="1"/>
      <c r="G37" s="1"/>
      <c r="H37" s="1"/>
      <c r="I37" s="1"/>
      <c r="J37" s="1"/>
      <c r="K37" s="8"/>
      <c r="M37" s="149"/>
    </row>
    <row ht="16.5" r="38" spans="1:13" x14ac:dyDescent="0.3">
      <c r="A38" s="5"/>
      <c r="B38" s="1"/>
      <c r="C38" s="1"/>
      <c r="D38" s="1"/>
      <c r="E38" s="1"/>
      <c r="F38" s="1"/>
      <c r="G38" s="1"/>
      <c r="H38" s="1"/>
      <c r="I38" s="1"/>
      <c r="J38" s="1"/>
      <c r="K38" s="8"/>
    </row>
    <row ht="16.5" r="39" spans="1:13" x14ac:dyDescent="0.3">
      <c r="A39" s="10"/>
      <c r="B39" s="11"/>
      <c r="C39" s="11"/>
      <c r="D39" s="11"/>
      <c r="E39" s="11"/>
      <c r="F39" s="11"/>
      <c r="G39" s="11"/>
      <c r="H39" s="11"/>
      <c r="I39" s="11"/>
      <c r="J39" s="11"/>
      <c r="K39" s="12"/>
    </row>
    <row ht="16.5" r="41" spans="1:13" x14ac:dyDescent="0.3">
      <c r="A41" s="1"/>
      <c r="B41" s="622" t="s">
        <v>395</v>
      </c>
      <c r="C41" s="623"/>
      <c r="D41" s="623"/>
      <c r="E41" s="623"/>
      <c r="F41" s="623"/>
      <c r="G41" s="624"/>
      <c r="H41" s="1"/>
      <c r="I41" s="1"/>
      <c r="J41" s="1"/>
      <c r="K41" s="1"/>
    </row>
    <row customHeight="1" ht="11.25" r="42" spans="1:13" x14ac:dyDescent="0.3">
      <c r="A42" s="13"/>
      <c r="B42" s="625"/>
      <c r="C42" s="626"/>
      <c r="D42" s="626"/>
      <c r="E42" s="626"/>
      <c r="F42" s="626"/>
      <c r="G42" s="627"/>
      <c r="H42" s="6"/>
      <c r="I42" s="6"/>
      <c r="J42" s="6"/>
      <c r="K42" s="7"/>
    </row>
    <row ht="16.5" r="43" spans="1:13" x14ac:dyDescent="0.3">
      <c r="A43" s="5"/>
      <c r="C43" s="1"/>
      <c r="D43" s="1"/>
      <c r="E43" s="1"/>
      <c r="F43" s="1"/>
      <c r="G43" s="1"/>
      <c r="H43" s="1"/>
      <c r="I43" s="1"/>
      <c r="J43" s="1"/>
      <c r="K43" s="8"/>
    </row>
    <row ht="16.5" r="44" spans="1:13" x14ac:dyDescent="0.3">
      <c r="A44" s="5"/>
      <c r="B44" s="1"/>
      <c r="C44" s="1"/>
      <c r="D44" s="1"/>
      <c r="E44" s="1"/>
      <c r="F44" s="1"/>
      <c r="G44" s="1"/>
      <c r="H44" s="1"/>
      <c r="I44" s="1"/>
      <c r="J44" s="1"/>
      <c r="K44" s="8"/>
    </row>
    <row ht="16.5" r="45" spans="1:13" x14ac:dyDescent="0.3">
      <c r="A45" s="5"/>
      <c r="B45" s="1"/>
      <c r="C45" s="1"/>
      <c r="D45" s="1"/>
      <c r="E45" s="1"/>
      <c r="F45" s="1"/>
      <c r="G45" s="1"/>
      <c r="H45" s="1"/>
      <c r="I45" s="1"/>
      <c r="J45" s="1"/>
      <c r="K45" s="8"/>
    </row>
    <row ht="16.5" r="46" spans="1:13" x14ac:dyDescent="0.3">
      <c r="A46" s="5"/>
      <c r="B46" s="1"/>
      <c r="C46" s="1"/>
      <c r="D46" s="1"/>
      <c r="E46" s="1"/>
      <c r="F46" s="1"/>
      <c r="G46" s="1"/>
      <c r="H46" s="1"/>
      <c r="I46" s="1"/>
      <c r="J46" s="1"/>
      <c r="K46" s="8"/>
    </row>
    <row ht="16.5" r="47" spans="1:13" x14ac:dyDescent="0.3">
      <c r="A47" s="5"/>
      <c r="B47" s="1"/>
      <c r="C47" s="1"/>
      <c r="D47" s="1"/>
      <c r="E47" s="1"/>
      <c r="F47" s="1"/>
      <c r="G47" s="1"/>
      <c r="H47" s="1"/>
      <c r="I47" s="1"/>
      <c r="J47" s="1"/>
      <c r="K47" s="8"/>
    </row>
    <row ht="16.5" r="48" spans="1:13" x14ac:dyDescent="0.3">
      <c r="A48" s="5"/>
      <c r="B48" s="1"/>
      <c r="C48" s="1"/>
      <c r="D48" s="1"/>
      <c r="E48" s="1"/>
      <c r="F48" s="1"/>
      <c r="G48" s="1"/>
      <c r="H48" s="1"/>
      <c r="I48" s="1"/>
      <c r="J48" s="1"/>
      <c r="K48" s="8"/>
    </row>
    <row ht="16.5" r="49" spans="1:11" x14ac:dyDescent="0.3">
      <c r="A49" s="5"/>
      <c r="B49" s="1"/>
      <c r="C49" s="1"/>
      <c r="D49" s="1"/>
      <c r="E49" s="1"/>
      <c r="F49" s="1"/>
      <c r="G49" s="1"/>
      <c r="H49" s="1"/>
      <c r="I49" s="1"/>
      <c r="J49" s="1"/>
      <c r="K49" s="8"/>
    </row>
    <row ht="16.5" r="50" spans="1:11" x14ac:dyDescent="0.3">
      <c r="A50" s="5"/>
      <c r="B50" s="1"/>
      <c r="C50" s="1"/>
      <c r="D50" s="1"/>
      <c r="E50" s="1"/>
      <c r="F50" s="1"/>
      <c r="G50" s="1"/>
      <c r="H50" s="1"/>
      <c r="I50" s="1"/>
      <c r="J50" s="1"/>
      <c r="K50" s="8"/>
    </row>
    <row ht="16.5" r="51" spans="1:11" x14ac:dyDescent="0.3">
      <c r="A51" s="5"/>
      <c r="B51" s="1"/>
      <c r="C51" s="1"/>
      <c r="D51" s="1"/>
      <c r="E51" s="1"/>
      <c r="F51" s="1"/>
      <c r="G51" s="1"/>
      <c r="H51" s="1"/>
      <c r="I51" s="1"/>
      <c r="J51" s="1"/>
      <c r="K51" s="8"/>
    </row>
    <row ht="16.5" r="52" spans="1:11" x14ac:dyDescent="0.3">
      <c r="A52" s="5"/>
      <c r="B52" s="1"/>
      <c r="C52" s="1"/>
      <c r="D52" s="1"/>
      <c r="E52" s="1"/>
      <c r="F52" s="1"/>
      <c r="G52" s="1"/>
      <c r="H52" s="1"/>
      <c r="I52" s="1"/>
      <c r="J52" s="1"/>
      <c r="K52" s="8"/>
    </row>
    <row ht="16.5" r="53" spans="1:11" x14ac:dyDescent="0.3">
      <c r="A53" s="5"/>
      <c r="B53" s="1"/>
      <c r="C53" s="1"/>
      <c r="D53" s="1"/>
      <c r="E53" s="1"/>
      <c r="F53" s="1"/>
      <c r="G53" s="1"/>
      <c r="H53" s="1"/>
      <c r="I53" s="1"/>
      <c r="J53" s="1"/>
      <c r="K53" s="8"/>
    </row>
    <row ht="16.5" r="54" spans="1:11" x14ac:dyDescent="0.3">
      <c r="A54" s="5"/>
      <c r="C54" s="1"/>
      <c r="D54" s="1"/>
      <c r="E54" s="1"/>
      <c r="F54" s="1"/>
      <c r="G54" s="1"/>
      <c r="H54" s="1"/>
      <c r="I54" s="1"/>
      <c r="J54" s="1"/>
      <c r="K54" s="8"/>
    </row>
    <row ht="16.5" r="55" spans="1:11" x14ac:dyDescent="0.3">
      <c r="A55" s="10"/>
      <c r="B55" s="11">
        <f>+'A-D.- FICHA'!C48</f>
      </c>
      <c r="C55" s="11"/>
      <c r="D55" s="11"/>
      <c r="E55" s="11"/>
      <c r="F55" s="11"/>
      <c r="G55" s="11"/>
      <c r="H55" s="11"/>
      <c r="I55" s="11"/>
      <c r="J55" s="11"/>
      <c r="K55" s="12"/>
    </row>
  </sheetData>
  <mergeCells count="7">
    <mergeCell ref="I2:K4"/>
    <mergeCell ref="D2:H4"/>
    <mergeCell ref="A5:K6"/>
    <mergeCell ref="B41:G42"/>
    <mergeCell ref="B12:G13"/>
    <mergeCell ref="B26:G27"/>
    <mergeCell ref="A2:C4"/>
  </mergeCells>
  <printOptions horizontalCentered="1"/>
  <pageMargins bottom="0.94488188976377963" footer="0.31496062992125984" header="0.31496062992125984" left="0.31496062992125984" right="0.31496062992125984" top="0.74803149606299213"/>
  <pageSetup orientation="portrait" paperSize="9" r:id="rId1" scale="86"/>
  <drawing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L46"/>
  <sheetViews>
    <sheetView topLeftCell="A11" view="pageBreakPreview" workbookViewId="0" zoomScaleNormal="100" zoomScaleSheetLayoutView="100">
      <selection activeCell="C41" sqref="C41:E41"/>
    </sheetView>
  </sheetViews>
  <sheetFormatPr baseColWidth="10" defaultRowHeight="15" x14ac:dyDescent="0.25"/>
  <cols>
    <col customWidth="1" max="1" min="1" width="3.140625"/>
    <col customWidth="1" max="2" min="2" width="5"/>
    <col customWidth="1" max="4" min="4" width="5.28515625"/>
    <col customWidth="1" max="5" min="5" width="13.7109375"/>
    <col customWidth="1" max="6" min="6" width="16.42578125"/>
    <col customWidth="1" max="7" min="7" width="4.42578125"/>
    <col customWidth="1" max="8" min="8" width="13"/>
    <col customWidth="1" max="9" min="9" width="8.85546875"/>
    <col customWidth="1" max="10" min="10" width="4"/>
    <col customWidth="1" max="11" min="11" width="16"/>
    <col customWidth="1" max="12" min="12" width="3.42578125"/>
  </cols>
  <sheetData>
    <row customHeight="1" ht="15" r="1" spans="1:12" x14ac:dyDescent="0.25">
      <c r="A1" s="598"/>
      <c r="B1" s="599"/>
      <c r="C1" s="599"/>
      <c r="D1" s="600"/>
      <c r="E1" s="631" t="s">
        <v>0</v>
      </c>
      <c r="F1" s="632"/>
      <c r="G1" s="632"/>
      <c r="H1" s="632"/>
      <c r="I1" s="631"/>
      <c r="J1" s="632"/>
      <c r="K1" s="632"/>
      <c r="L1" s="637"/>
    </row>
    <row r="2" spans="1:12" x14ac:dyDescent="0.25">
      <c r="A2" s="601"/>
      <c r="B2" s="602"/>
      <c r="C2" s="602"/>
      <c r="D2" s="603"/>
      <c r="E2" s="633"/>
      <c r="F2" s="634"/>
      <c r="G2" s="634"/>
      <c r="H2" s="634"/>
      <c r="I2" s="633"/>
      <c r="J2" s="634"/>
      <c r="K2" s="634"/>
      <c r="L2" s="638"/>
    </row>
    <row customHeight="1" ht="31.5" r="3" spans="1:12" thickBot="1" x14ac:dyDescent="0.3">
      <c r="A3" s="604"/>
      <c r="B3" s="605"/>
      <c r="C3" s="605"/>
      <c r="D3" s="606"/>
      <c r="E3" s="635"/>
      <c r="F3" s="636"/>
      <c r="G3" s="636"/>
      <c r="H3" s="636"/>
      <c r="I3" s="635"/>
      <c r="J3" s="636"/>
      <c r="K3" s="636"/>
      <c r="L3" s="639"/>
    </row>
    <row customHeight="1" ht="19.5" r="4" spans="1:12" thickBot="1" x14ac:dyDescent="0.35">
      <c r="A4" s="628" t="s">
        <v>1</v>
      </c>
      <c r="B4" s="629"/>
      <c r="C4" s="629"/>
      <c r="D4" s="629"/>
      <c r="E4" s="629"/>
      <c r="F4" s="629"/>
      <c r="G4" s="629"/>
      <c r="H4" s="629"/>
      <c r="I4" s="629"/>
      <c r="J4" s="629"/>
      <c r="K4" s="629"/>
      <c r="L4" s="630"/>
    </row>
    <row customHeight="1" ht="18.75" r="5" spans="1:12" thickBot="1" x14ac:dyDescent="0.35">
      <c r="A5" s="640" t="s">
        <v>396</v>
      </c>
      <c r="B5" s="641"/>
      <c r="C5" s="641"/>
      <c r="D5" s="641"/>
      <c r="E5" s="642"/>
      <c r="F5" s="185"/>
      <c r="G5" s="66"/>
      <c r="H5" s="66"/>
      <c r="I5" s="66"/>
      <c r="J5" s="66"/>
      <c r="K5" s="66"/>
    </row>
    <row customHeight="1" ht="18.75" r="6" spans="1:12" x14ac:dyDescent="0.3">
      <c r="C6" s="184" t="s">
        <v>397</v>
      </c>
      <c r="D6" s="184" t="e">
        <f>+#REF!</f>
      </c>
      <c r="E6" s="185"/>
      <c r="F6" s="193" t="s">
        <v>398</v>
      </c>
      <c r="G6" s="184">
        <f>+'A-D.- FICHA'!P16</f>
      </c>
      <c r="H6" s="185"/>
      <c r="I6" s="184" t="s">
        <v>399</v>
      </c>
      <c r="K6" s="194">
        <f>+'A-D.- FICHA'!P18</f>
      </c>
    </row>
    <row customHeight="1" ht="6.75" r="7" spans="1:12" thickBot="1" x14ac:dyDescent="0.35">
      <c r="C7" s="183"/>
      <c r="D7" s="183"/>
      <c r="E7" s="66"/>
      <c r="F7" s="66"/>
      <c r="G7" s="66"/>
      <c r="H7" s="66"/>
      <c r="I7" s="66"/>
      <c r="J7" s="66"/>
      <c r="K7" s="66"/>
    </row>
    <row ht="15.75" r="8" spans="1:12" thickTop="1" x14ac:dyDescent="0.25">
      <c r="B8" s="75"/>
      <c r="C8" s="662" t="s">
        <v>400</v>
      </c>
      <c r="D8" s="663"/>
      <c r="E8" s="663"/>
      <c r="F8" s="664"/>
      <c r="G8" s="74"/>
      <c r="H8" s="64"/>
      <c r="I8" s="64"/>
      <c r="J8" s="64"/>
      <c r="K8" s="64"/>
      <c r="L8" s="64"/>
    </row>
    <row customHeight="1" ht="10.5" r="9" spans="1:12" thickBot="1" x14ac:dyDescent="0.3">
      <c r="B9" s="67"/>
      <c r="C9" s="665"/>
      <c r="D9" s="666"/>
      <c r="E9" s="666"/>
      <c r="F9" s="667"/>
      <c r="G9" s="68"/>
      <c r="H9" s="68"/>
      <c r="I9" s="68"/>
      <c r="J9" s="68"/>
      <c r="K9" s="68"/>
      <c r="L9" s="69"/>
    </row>
    <row ht="15.75" r="10" spans="1:12" thickTop="1" x14ac:dyDescent="0.25">
      <c r="B10" s="70"/>
      <c r="L10" s="71"/>
    </row>
    <row r="11" spans="1:12" x14ac:dyDescent="0.25">
      <c r="B11" s="70"/>
      <c r="D11" s="174">
        <v>1</v>
      </c>
      <c r="E11" t="s">
        <v>401</v>
      </c>
      <c r="G11" s="174">
        <v>3</v>
      </c>
      <c r="H11" t="s">
        <v>402</v>
      </c>
      <c r="J11" s="174">
        <v>5</v>
      </c>
      <c r="K11" t="s">
        <v>403</v>
      </c>
      <c r="L11" s="71"/>
    </row>
    <row r="12" spans="1:12" x14ac:dyDescent="0.25">
      <c r="B12" s="70"/>
      <c r="D12" s="175"/>
      <c r="G12" s="175"/>
      <c r="J12" s="175"/>
      <c r="L12" s="71"/>
    </row>
    <row r="13" spans="1:12" x14ac:dyDescent="0.25">
      <c r="B13" s="70"/>
      <c r="D13" s="174">
        <v>0</v>
      </c>
      <c r="E13" t="s">
        <v>404</v>
      </c>
      <c r="G13" s="174">
        <v>2</v>
      </c>
      <c r="H13" t="s">
        <v>293</v>
      </c>
      <c r="J13" s="174">
        <v>4</v>
      </c>
      <c r="K13" t="s">
        <v>405</v>
      </c>
      <c r="L13" s="71"/>
    </row>
    <row r="14" spans="1:12" x14ac:dyDescent="0.25">
      <c r="B14" s="70"/>
      <c r="L14" s="71"/>
    </row>
    <row r="15" spans="1:12" x14ac:dyDescent="0.25">
      <c r="B15" s="70"/>
      <c r="C15" t="s">
        <v>406</v>
      </c>
      <c r="D15" s="64" t="inlineStr">
        <is>
          <t xml:space="preserve">Inspector</t>
        </is>
      </c>
      <c r="E15" s="64"/>
      <c r="F15" s="64"/>
      <c r="H15" t="s">
        <v>407</v>
      </c>
      <c r="J15" s="64"/>
      <c r="K15" s="437">
        <f>'A-D.- FICHA'!N32</f>
      </c>
      <c r="L15" s="71"/>
    </row>
    <row customHeight="1" ht="25.5" r="16" spans="1:12" x14ac:dyDescent="0.25">
      <c r="B16" s="70"/>
      <c r="C16" t="s">
        <v>408</v>
      </c>
      <c r="D16" s="64"/>
      <c r="E16" s="64"/>
      <c r="F16" s="65"/>
      <c r="H16" t="s">
        <v>409</v>
      </c>
      <c r="J16" s="65"/>
      <c r="K16" s="65"/>
      <c r="L16" s="71"/>
    </row>
    <row r="17" spans="2:12" x14ac:dyDescent="0.25">
      <c r="B17" s="72"/>
      <c r="C17" s="64"/>
      <c r="D17" s="64"/>
      <c r="E17" s="64"/>
      <c r="F17" s="64"/>
      <c r="G17" s="64"/>
      <c r="H17" s="64"/>
      <c r="I17" s="64"/>
      <c r="J17" s="64"/>
      <c r="K17" s="64"/>
      <c r="L17" s="73"/>
    </row>
    <row customHeight="1" ht="20.25" r="19" spans="2:12" x14ac:dyDescent="0.3">
      <c r="B19" s="469"/>
      <c r="C19" s="470" t="s">
        <v>410</v>
      </c>
      <c r="D19" s="471"/>
      <c r="E19" s="471"/>
      <c r="F19" s="472" t="s">
        <v>411</v>
      </c>
      <c r="G19" s="473"/>
      <c r="H19" s="473"/>
      <c r="I19" s="473"/>
      <c r="J19" s="473"/>
      <c r="K19" s="473"/>
      <c r="L19" s="474"/>
    </row>
    <row r="20" spans="2:12" x14ac:dyDescent="0.25">
      <c r="B20" s="67"/>
      <c r="C20" s="68"/>
      <c r="D20" s="68"/>
      <c r="E20" s="68"/>
      <c r="F20" s="67"/>
      <c r="G20" s="68"/>
      <c r="H20" s="68"/>
      <c r="I20" s="68"/>
      <c r="J20" s="68"/>
      <c r="K20" s="68"/>
      <c r="L20" s="69"/>
    </row>
    <row r="21" spans="2:12" x14ac:dyDescent="0.25">
      <c r="B21" s="192" t="s">
        <v>412</v>
      </c>
      <c r="C21" s="165"/>
      <c r="F21" s="668"/>
      <c r="G21" s="669"/>
      <c r="H21" s="669"/>
      <c r="I21" s="669"/>
      <c r="J21" s="669"/>
      <c r="K21" s="669"/>
      <c r="L21" s="670"/>
    </row>
    <row customHeight="1" ht="36.75" r="22" spans="2:12" x14ac:dyDescent="0.25">
      <c r="B22" s="195"/>
      <c r="C22" s="661"/>
      <c r="D22" s="652"/>
      <c r="E22" s="653"/>
      <c r="F22" s="651"/>
      <c r="G22" s="652"/>
      <c r="H22" s="652"/>
      <c r="I22" s="652"/>
      <c r="J22" s="652"/>
      <c r="K22" s="652"/>
      <c r="L22" s="653"/>
    </row>
    <row customHeight="1" ht="36.75" r="23" spans="2:12" x14ac:dyDescent="0.25">
      <c r="B23" s="195"/>
      <c r="C23" s="661"/>
      <c r="D23" s="652"/>
      <c r="E23" s="653"/>
      <c r="F23" s="651"/>
      <c r="G23" s="652"/>
      <c r="H23" s="652"/>
      <c r="I23" s="652"/>
      <c r="J23" s="652"/>
      <c r="K23" s="652"/>
      <c r="L23" s="653"/>
    </row>
    <row customHeight="1" ht="28.5" r="24" spans="2:12" x14ac:dyDescent="0.25">
      <c r="B24" s="195"/>
      <c r="C24" s="661"/>
      <c r="D24" s="652"/>
      <c r="E24" s="653"/>
      <c r="F24" s="651"/>
      <c r="G24" s="652"/>
      <c r="H24" s="652"/>
      <c r="I24" s="652"/>
      <c r="J24" s="652"/>
      <c r="K24" s="652"/>
      <c r="L24" s="653"/>
    </row>
    <row r="25" spans="2:12" x14ac:dyDescent="0.25">
      <c r="B25" s="192" t="s">
        <v>413</v>
      </c>
      <c r="F25" s="70"/>
      <c r="L25" s="71"/>
    </row>
    <row customHeight="1" ht="32.25" r="26" spans="2:12" x14ac:dyDescent="0.25">
      <c r="B26" s="195"/>
      <c r="C26" s="661"/>
      <c r="D26" s="652"/>
      <c r="E26" s="653"/>
      <c r="F26" s="651"/>
      <c r="G26" s="652"/>
      <c r="H26" s="652"/>
      <c r="I26" s="652"/>
      <c r="J26" s="652"/>
      <c r="K26" s="652"/>
      <c r="L26" s="653"/>
    </row>
    <row customHeight="1" ht="32.25" r="27" spans="2:12" x14ac:dyDescent="0.25">
      <c r="B27" s="195"/>
      <c r="C27" s="661"/>
      <c r="D27" s="652"/>
      <c r="E27" s="653"/>
      <c r="F27" s="651"/>
      <c r="G27" s="652"/>
      <c r="H27" s="652"/>
      <c r="I27" s="652"/>
      <c r="J27" s="652"/>
      <c r="K27" s="652"/>
      <c r="L27" s="653"/>
    </row>
    <row customHeight="1" ht="32.25" r="28" spans="2:12" x14ac:dyDescent="0.25">
      <c r="B28" s="465"/>
      <c r="C28" s="643"/>
      <c r="D28" s="643"/>
      <c r="E28" s="644"/>
      <c r="F28" s="645"/>
      <c r="G28" s="643"/>
      <c r="H28" s="643"/>
      <c r="I28" s="643"/>
      <c r="J28" s="643"/>
      <c r="K28" s="643"/>
      <c r="L28" s="644"/>
    </row>
    <row customHeight="1" ht="18" r="29" spans="2:12" x14ac:dyDescent="0.25">
      <c r="B29" s="465"/>
      <c r="C29" s="466"/>
      <c r="D29" s="466"/>
      <c r="E29" s="466"/>
      <c r="F29" s="467"/>
      <c r="G29" s="466"/>
      <c r="H29" s="466"/>
      <c r="I29" s="466"/>
      <c r="J29" s="466"/>
      <c r="K29" s="466"/>
      <c r="L29" s="468"/>
    </row>
    <row r="30" spans="2:12" x14ac:dyDescent="0.25">
      <c r="B30" s="192" t="s">
        <v>414</v>
      </c>
      <c r="C30" s="70"/>
      <c r="F30" s="70"/>
      <c r="L30" s="71"/>
    </row>
    <row customHeight="1" ht="36.75" r="31" spans="2:12" x14ac:dyDescent="0.25">
      <c r="B31" s="196"/>
      <c r="C31" s="649"/>
      <c r="D31" s="649"/>
      <c r="E31" s="650"/>
      <c r="F31" s="651"/>
      <c r="G31" s="652"/>
      <c r="H31" s="652"/>
      <c r="I31" s="652"/>
      <c r="J31" s="652"/>
      <c r="K31" s="652"/>
      <c r="L31" s="653"/>
    </row>
    <row customHeight="1" ht="39" r="32" spans="2:12" x14ac:dyDescent="0.25">
      <c r="B32" s="196"/>
      <c r="C32" s="649"/>
      <c r="D32" s="649"/>
      <c r="E32" s="650"/>
      <c r="F32" s="651"/>
      <c r="G32" s="652"/>
      <c r="H32" s="652"/>
      <c r="I32" s="652"/>
      <c r="J32" s="652"/>
      <c r="K32" s="652"/>
      <c r="L32" s="653"/>
    </row>
    <row customHeight="1" ht="29.25" r="33" spans="2:12" x14ac:dyDescent="0.25">
      <c r="B33" s="196"/>
      <c r="C33" s="649"/>
      <c r="D33" s="649"/>
      <c r="E33" s="650"/>
      <c r="F33" s="651"/>
      <c r="G33" s="652"/>
      <c r="H33" s="652"/>
      <c r="I33" s="652"/>
      <c r="J33" s="652"/>
      <c r="K33" s="652"/>
      <c r="L33" s="653"/>
    </row>
    <row customHeight="1" ht="50.25" r="34" spans="2:12" x14ac:dyDescent="0.25">
      <c r="B34" s="196"/>
      <c r="C34" s="649"/>
      <c r="D34" s="649"/>
      <c r="E34" s="650"/>
      <c r="F34" s="651"/>
      <c r="G34" s="652"/>
      <c r="H34" s="652"/>
      <c r="I34" s="652"/>
      <c r="J34" s="652"/>
      <c r="K34" s="652"/>
      <c r="L34" s="653"/>
    </row>
    <row r="35" spans="2:12" x14ac:dyDescent="0.25">
      <c r="B35" s="192" t="s">
        <v>415</v>
      </c>
      <c r="C35" s="70"/>
      <c r="F35" s="646"/>
      <c r="G35" s="647"/>
      <c r="H35" s="647"/>
      <c r="I35" s="647"/>
      <c r="J35" s="647"/>
      <c r="K35" s="647"/>
      <c r="L35" s="648"/>
    </row>
    <row customHeight="1" ht="36.75" r="36" spans="2:12" x14ac:dyDescent="0.25">
      <c r="B36" s="196"/>
      <c r="C36" s="649"/>
      <c r="D36" s="649"/>
      <c r="E36" s="650"/>
      <c r="F36" s="651"/>
      <c r="G36" s="652"/>
      <c r="H36" s="652"/>
      <c r="I36" s="652"/>
      <c r="J36" s="652"/>
      <c r="K36" s="652"/>
      <c r="L36" s="653"/>
    </row>
    <row customHeight="1" ht="30.75" r="37" spans="2:12" x14ac:dyDescent="0.25">
      <c r="B37" s="196"/>
      <c r="C37" s="649"/>
      <c r="D37" s="649"/>
      <c r="E37" s="650"/>
      <c r="F37" s="651"/>
      <c r="G37" s="652"/>
      <c r="H37" s="652"/>
      <c r="I37" s="652"/>
      <c r="J37" s="652"/>
      <c r="K37" s="652"/>
      <c r="L37" s="653"/>
    </row>
    <row customHeight="1" ht="30.75" r="38" spans="2:12" x14ac:dyDescent="0.25">
      <c r="B38" s="465"/>
      <c r="C38" s="656"/>
      <c r="D38" s="656"/>
      <c r="E38" s="657"/>
      <c r="F38" s="658"/>
      <c r="G38" s="659"/>
      <c r="H38" s="659"/>
      <c r="I38" s="659"/>
      <c r="J38" s="659"/>
      <c r="K38" s="659"/>
      <c r="L38" s="660"/>
    </row>
    <row customHeight="1" ht="19.5" r="39" spans="2:12" x14ac:dyDescent="0.25">
      <c r="B39" s="465"/>
      <c r="C39" s="466"/>
      <c r="D39" s="466"/>
      <c r="E39" s="466"/>
      <c r="F39" s="438"/>
      <c r="G39" s="439"/>
      <c r="H39" s="439"/>
      <c r="I39" s="439"/>
      <c r="J39" s="439"/>
      <c r="K39" s="439"/>
      <c r="L39" s="440"/>
    </row>
    <row r="40" spans="2:12" x14ac:dyDescent="0.25">
      <c r="B40" s="192" t="s">
        <v>416</v>
      </c>
      <c r="F40" s="646"/>
      <c r="G40" s="647"/>
      <c r="H40" s="647"/>
      <c r="I40" s="647"/>
      <c r="J40" s="647"/>
      <c r="K40" s="647"/>
      <c r="L40" s="648"/>
    </row>
    <row customHeight="1" ht="45" r="41" spans="2:12" x14ac:dyDescent="0.25">
      <c r="B41" s="196" t="inlineStr">
        <is>
          <t xml:space="preserve">X-01</t>
        </is>
      </c>
      <c r="C41" s="649" t="inlineStr">
        <is>
          <t xml:space="preserve">Elemento manual campo</t>
        </is>
      </c>
      <c r="D41" s="649"/>
      <c r="E41" s="650"/>
      <c r="F41" s="651"/>
      <c r="G41" s="652"/>
      <c r="H41" s="652"/>
      <c r="I41" s="652"/>
      <c r="J41" s="652"/>
      <c r="K41" s="652"/>
      <c r="L41" s="653"/>
    </row>
    <row customHeight="1" ht="40.5" r="42" spans="2:12" x14ac:dyDescent="0.25">
      <c r="B42" s="196"/>
      <c r="C42" s="661"/>
      <c r="D42" s="652"/>
      <c r="E42" s="653"/>
      <c r="F42" s="658"/>
      <c r="G42" s="659"/>
      <c r="H42" s="659"/>
      <c r="I42" s="659"/>
      <c r="J42" s="659"/>
      <c r="K42" s="659"/>
      <c r="L42" s="660"/>
    </row>
    <row customHeight="1" ht="30" r="43" spans="2:12" x14ac:dyDescent="0.25">
      <c r="B43" s="196"/>
      <c r="C43" s="649"/>
      <c r="D43" s="649"/>
      <c r="E43" s="650"/>
      <c r="F43" s="651"/>
      <c r="G43" s="652"/>
      <c r="H43" s="652"/>
      <c r="I43" s="652"/>
      <c r="J43" s="652"/>
      <c r="K43" s="652"/>
      <c r="L43" s="653"/>
    </row>
    <row customHeight="1" ht="32.25" r="44" spans="2:12" x14ac:dyDescent="0.25">
      <c r="B44" s="196"/>
      <c r="C44" s="649"/>
      <c r="D44" s="649"/>
      <c r="E44" s="650"/>
      <c r="F44" s="651"/>
      <c r="G44" s="652"/>
      <c r="H44" s="652"/>
      <c r="I44" s="652"/>
      <c r="J44" s="652"/>
      <c r="K44" s="652"/>
      <c r="L44" s="653"/>
    </row>
    <row r="45" spans="2:12" x14ac:dyDescent="0.25">
      <c r="B45" s="196"/>
      <c r="C45" s="654"/>
      <c r="D45" s="654"/>
      <c r="E45" s="655"/>
      <c r="F45" s="646"/>
      <c r="G45" s="647"/>
      <c r="H45" s="647"/>
      <c r="I45" s="647"/>
      <c r="J45" s="647"/>
      <c r="K45" s="647"/>
      <c r="L45" s="648"/>
    </row>
    <row r="46" spans="2:12" x14ac:dyDescent="0.25">
      <c r="B46" s="304"/>
      <c r="C46" s="305"/>
      <c r="D46" s="306"/>
      <c r="E46" s="307"/>
      <c r="F46" s="367"/>
      <c r="G46" s="368"/>
      <c r="H46" s="368"/>
      <c r="I46" s="368"/>
      <c r="J46" s="368"/>
      <c r="K46" s="368"/>
      <c r="L46" s="369"/>
    </row>
  </sheetData>
  <mergeCells count="45">
    <mergeCell ref="C8:F9"/>
    <mergeCell ref="C22:E22"/>
    <mergeCell ref="F21:L21"/>
    <mergeCell ref="F22:L22"/>
    <mergeCell ref="C23:E23"/>
    <mergeCell ref="F23:L23"/>
    <mergeCell ref="C24:E24"/>
    <mergeCell ref="F24:L24"/>
    <mergeCell ref="C26:E26"/>
    <mergeCell ref="F26:L26"/>
    <mergeCell ref="C31:E31"/>
    <mergeCell ref="F31:L31"/>
    <mergeCell ref="F27:L27"/>
    <mergeCell ref="C27:E27"/>
    <mergeCell ref="C45:E45"/>
    <mergeCell ref="F45:L45"/>
    <mergeCell ref="C41:E41"/>
    <mergeCell ref="F41:L41"/>
    <mergeCell ref="C43:E43"/>
    <mergeCell ref="F43:L43"/>
    <mergeCell ref="C44:E44"/>
    <mergeCell ref="F44:L44"/>
    <mergeCell ref="C42:E42"/>
    <mergeCell ref="F42:L42"/>
    <mergeCell ref="C28:E28"/>
    <mergeCell ref="F28:L28"/>
    <mergeCell ref="F40:L40"/>
    <mergeCell ref="F35:L35"/>
    <mergeCell ref="C36:E36"/>
    <mergeCell ref="F36:L36"/>
    <mergeCell ref="C38:E38"/>
    <mergeCell ref="F38:L38"/>
    <mergeCell ref="C32:E32"/>
    <mergeCell ref="F32:L32"/>
    <mergeCell ref="C37:E37"/>
    <mergeCell ref="F37:L37"/>
    <mergeCell ref="C34:E34"/>
    <mergeCell ref="F34:L34"/>
    <mergeCell ref="C33:E33"/>
    <mergeCell ref="F33:L33"/>
    <mergeCell ref="A1:D3"/>
    <mergeCell ref="A4:L4"/>
    <mergeCell ref="E1:H3"/>
    <mergeCell ref="I1:L3"/>
    <mergeCell ref="A5:E5"/>
  </mergeCells>
  <printOptions horizontalCentered="1"/>
  <pageMargins bottom="0.98425196850393704" footer="0.31496062992125984" header="0.31496062992125984" left="0.31496062992125984" right="0.31496062992125984" top="0.74803149606299213"/>
  <pageSetup orientation="portrait" paperSize="9" r:id="rId1" scale="68"/>
  <colBreaks count="1" manualBreakCount="1">
    <brk id="12" man="1" max="1048575"/>
  </colBreaks>
  <drawing r:id="rId2"/>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2"/>
  <sheetViews>
    <sheetView topLeftCell="B31" view="pageBreakPreview" workbookViewId="0" zoomScaleNormal="100" zoomScaleSheetLayoutView="100">
      <selection activeCell="D28" sqref="D28"/>
    </sheetView>
  </sheetViews>
  <sheetFormatPr baseColWidth="10" defaultColWidth="11.42578125" defaultRowHeight="12.75" x14ac:dyDescent="0.25"/>
  <cols>
    <col customWidth="1" max="1" min="1" style="122" width="7.28515625"/>
    <col customWidth="1" max="2" min="2" style="122" width="10.7109375"/>
    <col customWidth="1" max="3" min="3" style="122" width="12.7109375"/>
    <col customWidth="1" max="4" min="4" style="138" width="59.7109375"/>
    <col customWidth="1" max="5" min="5" style="122" width="46.7109375"/>
    <col customWidth="1" max="6" min="6" style="122" width="3.85546875"/>
    <col customWidth="1" max="7" min="7" style="122" width="23"/>
    <col customWidth="1" max="8" min="8" style="122" width="12.85546875"/>
    <col max="16384" min="9" style="122" width="11.42578125"/>
  </cols>
  <sheetData>
    <row customHeight="1" ht="54.95" r="1" spans="2:8 16384:16384" thickBot="1" x14ac:dyDescent="0.3">
      <c r="B1" s="671"/>
      <c r="C1" s="672"/>
      <c r="D1" s="475" t="s">
        <v>0</v>
      </c>
      <c r="E1" s="671"/>
      <c r="F1" s="672"/>
      <c r="G1" s="430"/>
      <c r="H1" s="431"/>
    </row>
    <row customHeight="1" ht="30" r="2" spans="2:8 16384:16384" x14ac:dyDescent="0.25"/>
    <row ht="21" r="3" spans="2:8 16384:16384" x14ac:dyDescent="0.25">
      <c r="B3" s="674" t="s">
        <v>417</v>
      </c>
      <c r="C3" s="674"/>
      <c r="D3" s="674"/>
      <c r="E3" s="674"/>
      <c r="XFD3" s="122" t="s">
        <v>418</v>
      </c>
    </row>
    <row r="4" spans="2:8 16384:16384" x14ac:dyDescent="0.25">
      <c r="B4" s="123"/>
      <c r="C4" s="123"/>
      <c r="D4" s="370"/>
      <c r="E4" s="123"/>
      <c r="G4" s="441"/>
      <c r="XFD4" s="122" t="s">
        <v>419</v>
      </c>
    </row>
    <row r="5" spans="2:8 16384:16384" x14ac:dyDescent="0.2">
      <c r="B5" s="675" t="s">
        <v>420</v>
      </c>
      <c r="C5" s="675"/>
      <c r="D5" s="374" t="str">
        <f>+'A-D.- FICHA'!J10</f>
      </c>
      <c r="E5" s="124"/>
    </row>
    <row r="6" spans="2:8 16384:16384" x14ac:dyDescent="0.2">
      <c r="B6" s="675" t="s">
        <v>421</v>
      </c>
      <c r="C6" s="675"/>
      <c r="D6" s="374">
        <f>+'A-D.- FICHA'!P16</f>
      </c>
      <c r="E6" s="124"/>
    </row>
    <row r="7" spans="2:8 16384:16384" x14ac:dyDescent="0.2">
      <c r="B7" s="675" t="s">
        <v>422</v>
      </c>
      <c r="C7" s="675"/>
      <c r="D7" s="390">
        <f>+'A-D.- FICHA'!P18</f>
      </c>
      <c r="E7" s="164"/>
    </row>
    <row r="9" spans="2:8 16384:16384" x14ac:dyDescent="0.25">
      <c r="B9" s="673" t="s">
        <v>423</v>
      </c>
      <c r="C9" s="673"/>
      <c r="D9" s="673"/>
      <c r="E9" s="673"/>
    </row>
    <row r="10" spans="2:8 16384:16384" x14ac:dyDescent="0.25">
      <c r="B10" s="398" t="s">
        <v>424</v>
      </c>
      <c r="C10" s="398" t="s">
        <v>425</v>
      </c>
      <c r="D10" s="399" t="s">
        <v>426</v>
      </c>
      <c r="E10" s="398" t="s">
        <v>427</v>
      </c>
    </row>
    <row customHeight="1" ht="139.9" r="11" spans="2:8 16384:16384" x14ac:dyDescent="0.25">
      <c r="B11" s="376">
        <v>1</v>
      </c>
      <c r="C11" s="375">
        <v>46304</v>
      </c>
      <c r="D11" s="432" t="inlineStr">
        <is>
          <t xml:space="preserve">Vista general: Fotografia sintetica limpia</t>
        </is>
      </c>
      <c r="E11" s="400"/>
    </row>
    <row customHeight="1" ht="139.9" r="12" spans="2:8 16384:16384" x14ac:dyDescent="0.25">
      <c r="B12" s="376"/>
      <c r="C12" s="375"/>
      <c r="D12" s="432"/>
      <c r="E12" s="400"/>
    </row>
    <row customHeight="1" ht="139.9" r="13" spans="2:8 16384:16384" x14ac:dyDescent="0.25">
      <c r="B13" s="376"/>
      <c r="C13" s="375"/>
      <c r="D13" s="432"/>
      <c r="E13" s="400"/>
    </row>
    <row customHeight="1" ht="139.9" r="14" spans="2:8 16384:16384" x14ac:dyDescent="0.25">
      <c r="B14" s="376"/>
      <c r="C14" s="375"/>
      <c r="D14" s="432"/>
      <c r="E14" s="400"/>
    </row>
    <row customHeight="1" ht="139.9" r="15" spans="2:8 16384:16384" x14ac:dyDescent="0.25">
      <c r="B15" s="376"/>
      <c r="C15" s="375"/>
      <c r="D15" s="432"/>
      <c r="E15" s="400"/>
    </row>
    <row customHeight="1" ht="139.9" r="16" spans="2:8 16384:16384" x14ac:dyDescent="0.25">
      <c r="B16" s="376"/>
      <c r="C16" s="375"/>
      <c r="D16" s="432"/>
      <c r="E16" s="400"/>
    </row>
    <row customHeight="1" ht="139.9" r="17" spans="2:5" x14ac:dyDescent="0.25">
      <c r="B17" s="376"/>
      <c r="C17" s="375"/>
      <c r="D17" s="432"/>
      <c r="E17" s="400"/>
    </row>
    <row customHeight="1" ht="139.9" r="18" spans="2:5" x14ac:dyDescent="0.25">
      <c r="B18" s="376"/>
      <c r="C18" s="375"/>
      <c r="D18" s="432"/>
      <c r="E18" s="400"/>
    </row>
    <row customHeight="1" ht="139.9" r="19" spans="2:5" x14ac:dyDescent="0.25">
      <c r="B19" s="376"/>
      <c r="C19" s="375"/>
      <c r="D19" s="432"/>
      <c r="E19" s="400"/>
    </row>
    <row customHeight="1" ht="139.9" r="20" spans="2:5" x14ac:dyDescent="0.25">
      <c r="B20" s="376"/>
      <c r="C20" s="375"/>
      <c r="D20" s="432"/>
      <c r="E20" s="400"/>
    </row>
    <row customHeight="1" ht="139.9" r="21" spans="2:5" x14ac:dyDescent="0.25">
      <c r="B21" s="376"/>
      <c r="C21" s="375"/>
      <c r="D21" s="432"/>
      <c r="E21" s="400"/>
    </row>
    <row customHeight="1" ht="139.9" r="22" spans="2:5" x14ac:dyDescent="0.25">
      <c r="B22" s="376"/>
      <c r="C22" s="375"/>
      <c r="D22" s="432"/>
      <c r="E22" s="400"/>
    </row>
    <row customHeight="1" ht="139.9" r="23" spans="2:5" x14ac:dyDescent="0.25">
      <c r="B23" s="376"/>
      <c r="C23" s="375"/>
      <c r="D23" s="432"/>
      <c r="E23" s="400"/>
    </row>
    <row customHeight="1" ht="139.9" r="24" spans="2:5" x14ac:dyDescent="0.25">
      <c r="B24" s="376"/>
      <c r="C24" s="375"/>
      <c r="D24" s="432"/>
      <c r="E24" s="400"/>
    </row>
    <row customHeight="1" ht="139.9" r="25" spans="2:5" x14ac:dyDescent="0.25">
      <c r="B25" s="376"/>
      <c r="C25" s="375"/>
      <c r="D25" s="432"/>
      <c r="E25" s="400"/>
    </row>
    <row customHeight="1" ht="139.9" r="26" spans="2:5" x14ac:dyDescent="0.25">
      <c r="B26" s="376"/>
      <c r="C26" s="375"/>
      <c r="D26" s="432"/>
      <c r="E26" s="400"/>
    </row>
    <row customHeight="1" ht="139.9" r="27" spans="2:5" x14ac:dyDescent="0.25">
      <c r="B27" s="376"/>
      <c r="C27" s="375"/>
      <c r="D27" s="432"/>
      <c r="E27" s="400"/>
    </row>
    <row customHeight="1" ht="139.9" r="28" spans="2:5" x14ac:dyDescent="0.25">
      <c r="B28" s="376"/>
      <c r="C28" s="375"/>
      <c r="D28" s="432"/>
      <c r="E28" s="400"/>
    </row>
    <row customHeight="1" ht="139.9" r="29" spans="2:5" x14ac:dyDescent="0.25">
      <c r="B29" s="376"/>
      <c r="C29" s="375"/>
      <c r="D29" s="432"/>
      <c r="E29" s="400"/>
    </row>
    <row customHeight="1" ht="139.9" r="30" spans="2:5" x14ac:dyDescent="0.25">
      <c r="B30" s="376"/>
      <c r="C30" s="375"/>
      <c r="D30" s="432"/>
      <c r="E30" s="400"/>
    </row>
    <row customHeight="1" ht="139.9" r="31" spans="2:5" x14ac:dyDescent="0.25">
      <c r="B31" s="376"/>
      <c r="C31" s="375"/>
      <c r="D31" s="432"/>
      <c r="E31" s="400"/>
    </row>
    <row customHeight="1" ht="139.9" r="32" spans="2:5" x14ac:dyDescent="0.25">
      <c r="B32" s="376"/>
      <c r="C32" s="375"/>
      <c r="D32" s="432"/>
      <c r="E32" s="400"/>
    </row>
    <row customHeight="1" ht="139.9" r="33" spans="2:5" x14ac:dyDescent="0.25">
      <c r="B33" s="376"/>
      <c r="C33" s="375"/>
      <c r="D33" s="432"/>
      <c r="E33" s="400"/>
    </row>
    <row customHeight="1" ht="139.9" r="34" spans="2:5" x14ac:dyDescent="0.25">
      <c r="B34" s="376"/>
      <c r="C34" s="375"/>
      <c r="D34" s="432"/>
      <c r="E34" s="400"/>
    </row>
    <row customFormat="1" customHeight="1" ht="139.9" r="35" spans="2:5" x14ac:dyDescent="0.25">
      <c r="B35" s="376"/>
      <c r="C35" s="375"/>
      <c r="D35" s="432"/>
      <c r="E35" s="400"/>
    </row>
    <row customFormat="1" customHeight="1" ht="139.9" r="36" spans="2:5" x14ac:dyDescent="0.25">
      <c r="B36" s="376"/>
      <c r="C36" s="375"/>
      <c r="D36" s="432"/>
      <c r="E36" s="400"/>
    </row>
    <row customHeight="1" ht="139.9" r="37" spans="2:5" x14ac:dyDescent="0.25">
      <c r="B37" s="376"/>
      <c r="C37" s="375"/>
      <c r="D37" s="432"/>
      <c r="E37" s="400"/>
    </row>
    <row customHeight="1" ht="139.9" r="38" spans="2:5" x14ac:dyDescent="0.25">
      <c r="B38" s="376"/>
      <c r="C38" s="375"/>
      <c r="D38" s="432"/>
      <c r="E38" s="400"/>
    </row>
    <row customHeight="1" ht="139.9" r="39" spans="2:5" x14ac:dyDescent="0.25">
      <c r="B39" s="376"/>
      <c r="C39" s="375"/>
      <c r="D39" s="432"/>
      <c r="E39" s="400"/>
    </row>
    <row customHeight="1" ht="139.9" r="40" spans="2:5" x14ac:dyDescent="0.25">
      <c r="B40" s="376"/>
      <c r="C40" s="375"/>
      <c r="D40" s="432"/>
      <c r="E40" s="400"/>
    </row>
    <row customHeight="1" ht="139.9" r="41" spans="2:5" x14ac:dyDescent="0.25">
      <c r="B41" s="376"/>
      <c r="C41" s="375"/>
      <c r="D41" s="432"/>
      <c r="E41" s="400"/>
    </row>
    <row customHeight="1" ht="139.9" r="42" spans="2:5" x14ac:dyDescent="0.25">
      <c r="B42" s="376"/>
      <c r="C42" s="375"/>
      <c r="D42" s="432"/>
      <c r="E42" s="400"/>
    </row>
  </sheetData>
  <mergeCells count="7">
    <mergeCell ref="B1:C1"/>
    <mergeCell ref="E1:F1"/>
    <mergeCell ref="B9:E9"/>
    <mergeCell ref="B3:E3"/>
    <mergeCell ref="B5:C5"/>
    <mergeCell ref="B6:C6"/>
    <mergeCell ref="B7:C7"/>
  </mergeCells>
  <printOptions horizontalCentered="1"/>
  <pageMargins bottom="0.94488188976377963" footer="0.31496062992125984" header="0.31496062992125984" left="0.31496062992125984" right="0.31496062992125984" top="0.74803149606299213"/>
  <pageSetup fitToHeight="0" orientation="portrait" paperSize="9" r:id="rId1" scale="69"/>
  <drawing r:id="rId2"/>
</worksheet>
</file>

<file path=xl/worksheets/sheet5.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AA199"/>
  <sheetViews>
    <sheetView tabSelected="1" topLeftCell="A33" view="pageBreakPreview" workbookViewId="0" zoomScaleNormal="100" zoomScaleSheetLayoutView="100">
      <selection activeCell="F194" sqref="F194"/>
    </sheetView>
  </sheetViews>
  <sheetFormatPr baseColWidth="10" defaultColWidth="11.42578125" defaultRowHeight="12.75" outlineLevelRow="1" x14ac:dyDescent="0.25"/>
  <cols>
    <col customWidth="1" max="1" min="1" style="122" width="6.7109375"/>
    <col customWidth="1" max="2" min="2" style="122" width="15.85546875"/>
    <col customWidth="1" max="3" min="3" style="122" width="20.42578125"/>
    <col customWidth="1" max="4" min="4" style="122" width="8.7109375"/>
    <col customWidth="1" max="5" min="5" style="122" width="5.85546875"/>
    <col customWidth="1" max="11" min="6" style="122" width="7.140625"/>
    <col customWidth="1" max="12" min="12" style="122" width="7.42578125"/>
    <col customWidth="1" max="13" min="13" style="122" width="11"/>
    <col customWidth="1" max="14" min="14" style="122" width="9.7109375"/>
    <col customWidth="1" max="15" min="15" style="122" width="8.7109375"/>
    <col customWidth="1" max="16" min="16" style="122" width="10.85546875"/>
    <col customWidth="1" max="21" min="17" style="122" width="3.28515625"/>
    <col customWidth="1" max="22" min="22" style="122" width="5"/>
    <col customWidth="1" max="23" min="23" style="122" width="5.85546875"/>
    <col customWidth="1" max="24" min="24" style="122" width="4.28515625"/>
    <col customWidth="1" max="25" min="25" style="122" width="6.140625"/>
    <col max="16384" min="26" style="122" width="11.42578125"/>
  </cols>
  <sheetData>
    <row customHeight="1" ht="54.95" r="1" spans="1:27" thickBot="1" x14ac:dyDescent="0.3">
      <c r="A1" s="671"/>
      <c r="B1" s="672"/>
      <c r="C1" s="689" t="s">
        <v>0</v>
      </c>
      <c r="D1" s="690"/>
      <c r="E1" s="690"/>
      <c r="F1" s="690"/>
      <c r="G1" s="690"/>
      <c r="H1" s="690"/>
      <c r="I1" s="691"/>
      <c r="J1" s="671"/>
      <c r="K1" s="682"/>
      <c r="L1" s="682"/>
      <c r="M1" s="672"/>
    </row>
    <row ht="18.75" r="3" spans="1:27" x14ac:dyDescent="0.25">
      <c r="A3" s="702" t="str">
        <f>+'A-D.- FICHA'!C4</f>
      </c>
      <c r="B3" s="703"/>
      <c r="C3" s="703"/>
      <c r="D3" s="703"/>
      <c r="E3" s="703"/>
      <c r="F3" s="703"/>
      <c r="G3" s="703"/>
      <c r="H3" s="703"/>
      <c r="I3" s="703"/>
      <c r="J3" s="703"/>
      <c r="K3" s="703"/>
      <c r="L3" s="703"/>
      <c r="M3" s="704"/>
    </row>
    <row ht="21" r="4" spans="1:27" x14ac:dyDescent="0.25">
      <c r="A4" s="159"/>
      <c r="B4" s="159"/>
      <c r="C4" s="160"/>
      <c r="D4" s="160"/>
      <c r="E4" s="160"/>
      <c r="F4" s="160"/>
      <c r="G4" s="160"/>
      <c r="H4" s="160"/>
      <c r="I4" s="160"/>
      <c r="J4" s="160"/>
      <c r="K4" s="160"/>
      <c r="L4" s="160"/>
      <c r="M4" s="160"/>
      <c r="N4" s="160"/>
    </row>
    <row ht="15" r="5" spans="1:27" x14ac:dyDescent="0.25">
      <c r="A5" s="161" t="s">
        <v>428</v>
      </c>
      <c r="B5" s="161"/>
      <c r="C5" s="123"/>
      <c r="D5" s="123"/>
      <c r="E5" s="123"/>
      <c r="F5" s="123"/>
      <c r="G5" s="123"/>
      <c r="H5" s="123"/>
      <c r="I5" s="123"/>
      <c r="J5" s="123"/>
      <c r="K5" s="123"/>
      <c r="L5" s="123"/>
      <c r="M5" s="123"/>
      <c r="N5" s="123"/>
      <c r="AA5"/>
    </row>
    <row ht="15" r="6" spans="1:27" x14ac:dyDescent="0.25">
      <c r="AA6"/>
    </row>
    <row ht="15" r="7" spans="1:27" x14ac:dyDescent="0.25">
      <c r="A7" s="60" t="str">
        <f>+CONCATENATE("NOMBRE: ",'A-D.- FICHA'!J10)</f>
      </c>
      <c r="B7" s="60"/>
      <c r="C7" s="61"/>
      <c r="D7" s="124"/>
      <c r="E7" s="60" t="s">
        <v>429</v>
      </c>
      <c r="F7" s="60">
        <f>+'A-D.- FICHA'!P16</f>
      </c>
      <c r="G7" s="60"/>
      <c r="H7" s="60"/>
      <c r="I7" s="60"/>
      <c r="J7" s="60" t="s">
        <v>430</v>
      </c>
      <c r="K7" s="60"/>
      <c r="L7" s="60"/>
      <c r="M7" s="380">
        <f>+'A-D.- FICHA'!P18</f>
      </c>
      <c r="N7" s="124"/>
      <c r="AA7"/>
    </row>
    <row ht="15" r="8" spans="1:27" x14ac:dyDescent="0.25">
      <c r="AA8"/>
    </row>
    <row ht="15.75" r="9" spans="1:27" thickBot="1" x14ac:dyDescent="0.3">
      <c r="A9" s="168" t="s">
        <v>431</v>
      </c>
      <c r="B9" s="476"/>
      <c r="C9" s="169"/>
      <c r="D9" s="169"/>
      <c r="E9" s="169"/>
      <c r="F9" s="169"/>
      <c r="G9" s="169"/>
      <c r="H9" s="169"/>
      <c r="I9" s="169"/>
      <c r="J9" s="169"/>
      <c r="K9" s="169"/>
      <c r="L9" s="169"/>
      <c r="M9" s="169"/>
      <c r="N9"/>
      <c r="AA9"/>
    </row>
    <row customHeight="1" ht="13.5" r="10" spans="1:27" thickTop="1" x14ac:dyDescent="0.25">
      <c r="A10" s="696" t="s">
        <v>432</v>
      </c>
      <c r="B10" s="683" t="s">
        <v>426</v>
      </c>
      <c r="C10" s="684"/>
      <c r="D10" s="699" t="s">
        <v>433</v>
      </c>
      <c r="E10" s="699" t="s">
        <v>434</v>
      </c>
      <c r="F10" s="714" t="s">
        <v>435</v>
      </c>
      <c r="G10" s="717" t="s">
        <v>436</v>
      </c>
      <c r="H10" s="718"/>
      <c r="I10" s="718"/>
      <c r="J10" s="718"/>
      <c r="K10" s="718"/>
      <c r="L10" s="718"/>
      <c r="M10" s="711" t="s">
        <v>437</v>
      </c>
      <c r="N10"/>
      <c r="AA10"/>
    </row>
    <row customHeight="1" ht="15" r="11" spans="1:27" x14ac:dyDescent="0.25">
      <c r="A11" s="697"/>
      <c r="B11" s="685"/>
      <c r="C11" s="686"/>
      <c r="D11" s="700"/>
      <c r="E11" s="700"/>
      <c r="F11" s="715"/>
      <c r="G11" s="211">
        <v>0</v>
      </c>
      <c r="H11" s="212">
        <v>1</v>
      </c>
      <c r="I11" s="212">
        <v>2</v>
      </c>
      <c r="J11" s="212">
        <v>3</v>
      </c>
      <c r="K11" s="212">
        <v>4</v>
      </c>
      <c r="L11" s="212">
        <v>5</v>
      </c>
      <c r="M11" s="712"/>
      <c r="N11"/>
      <c r="O11" s="126"/>
      <c r="W11"/>
      <c r="AA11"/>
    </row>
    <row customHeight="1" ht="23.25" r="12" spans="1:27" thickBot="1" x14ac:dyDescent="0.3">
      <c r="A12" s="698"/>
      <c r="B12" s="687"/>
      <c r="C12" s="688"/>
      <c r="D12" s="701"/>
      <c r="E12" s="701"/>
      <c r="F12" s="716"/>
      <c r="G12" s="217" t="s">
        <v>438</v>
      </c>
      <c r="H12" s="218" t="s">
        <v>401</v>
      </c>
      <c r="I12" s="218" t="s">
        <v>439</v>
      </c>
      <c r="J12" s="218" t="s">
        <v>440</v>
      </c>
      <c r="K12" s="218" t="s">
        <v>441</v>
      </c>
      <c r="L12" s="218" t="s">
        <v>442</v>
      </c>
      <c r="M12" s="713"/>
      <c r="N12" t="str">
        <f>IF(M13&gt;4,"MUY MALO",IF(M13&gt;3,"MALO",IF(M13&gt;2,"REGULAR","BUENO")))</f>
      </c>
      <c r="O12" s="126"/>
      <c r="P12" s="127"/>
      <c r="Q12" s="128"/>
      <c r="R12" s="124"/>
      <c r="S12" s="124"/>
      <c r="T12" s="124"/>
      <c r="U12" s="124"/>
      <c r="V12" s="128"/>
      <c r="W12"/>
      <c r="X12" s="128"/>
      <c r="Y12" s="128"/>
      <c r="AA12"/>
    </row>
    <row ht="15.75" r="13" spans="1:27" thickTop="1" x14ac:dyDescent="0.25">
      <c r="A13" s="248"/>
      <c r="B13" s="477"/>
      <c r="C13" s="170"/>
      <c r="D13" s="177"/>
      <c r="E13" s="176"/>
      <c r="F13" s="178"/>
      <c r="G13" s="199"/>
      <c r="H13" s="200"/>
      <c r="I13" s="200"/>
      <c r="J13" s="200"/>
      <c r="K13" s="200"/>
      <c r="L13" s="200"/>
      <c r="M13" s="708">
        <f>+F191</f>
      </c>
      <c r="N13"/>
      <c r="O13" s="126" t="s">
        <v>443</v>
      </c>
      <c r="P13" s="127"/>
      <c r="Q13" s="128"/>
      <c r="R13" s="124"/>
      <c r="S13" s="124"/>
      <c r="T13" s="124"/>
      <c r="U13" s="124"/>
      <c r="V13" s="128"/>
      <c r="W13"/>
      <c r="X13" s="128"/>
      <c r="Y13" s="128"/>
      <c r="AA13"/>
    </row>
    <row customHeight="1" ht="18.75" r="14" spans="1:27" x14ac:dyDescent="0.25">
      <c r="A14" s="248" t="inlineStr">
        <is>
          <t xml:space="preserve">X-01</t>
        </is>
      </c>
      <c r="B14" s="680" t="inlineStr">
        <is>
          <t xml:space="preserve">Elemento manual campo</t>
        </is>
      </c>
      <c r="C14" s="681"/>
      <c r="D14" s="436">
        <v>12.75</v>
      </c>
      <c r="E14" s="172" t="inlineStr">
        <is>
          <t xml:space="preserve">ml</t>
        </is>
      </c>
      <c r="F14" s="197">
        <v>0.8</v>
      </c>
      <c r="G14" s="201">
        <v>0.0</v>
      </c>
      <c r="H14" s="202">
        <v>80.0</v>
      </c>
      <c r="I14" s="202">
        <v>20.0</v>
      </c>
      <c r="J14" s="202">
        <v>0.0</v>
      </c>
      <c r="K14" s="202">
        <v>0.0</v>
      </c>
      <c r="L14" s="202">
        <v>0.0</v>
      </c>
      <c r="M14" s="709"/>
      <c r="N14"/>
      <c r="O14" s="131">
        <f>SUM(G14:L14)</f>
      </c>
      <c r="P14" s="328" t="str">
        <f>+IF(O14&lt;=100,+IF(O14=100,"Ok",""),"se pasa")</f>
      </c>
      <c r="Q14" s="130"/>
      <c r="R14" s="130"/>
      <c r="S14" s="130"/>
      <c r="T14" s="130"/>
      <c r="U14" s="130"/>
      <c r="V14"/>
      <c r="W14"/>
      <c r="X14" s="127"/>
      <c r="Y14" s="131"/>
      <c r="AA14"/>
    </row>
    <row customHeight="1" ht="14.25" r="15" spans="1:27" x14ac:dyDescent="0.25">
      <c r="A15" s="248"/>
      <c r="B15" s="680"/>
      <c r="C15" s="681"/>
      <c r="D15" s="436"/>
      <c r="E15" s="172"/>
      <c r="F15" s="197"/>
      <c r="G15" s="203"/>
      <c r="H15" s="428"/>
      <c r="I15" s="428"/>
      <c r="J15" s="428"/>
      <c r="K15" s="204"/>
      <c r="L15" s="204"/>
      <c r="M15" s="709"/>
      <c r="N15"/>
      <c r="O15" s="131">
        <f ref="O15:O36" si="0" t="shared">SUM(G15:L15)</f>
      </c>
      <c r="P15" s="328" t="str">
        <f ref="P15:P36" si="1" t="shared">+IF(O15&lt;=100,+IF(O15=100,"Ok",""),"se pasa")</f>
      </c>
      <c r="Q15" s="130"/>
      <c r="R15" s="130"/>
      <c r="S15" s="130"/>
      <c r="T15" s="130"/>
      <c r="U15" s="130"/>
      <c r="V15"/>
      <c r="W15"/>
      <c r="X15" s="127"/>
      <c r="Y15" s="131"/>
      <c r="AA15"/>
    </row>
    <row ht="15" r="16" spans="1:27" x14ac:dyDescent="0.25">
      <c r="A16" s="248"/>
      <c r="B16" s="680"/>
      <c r="C16" s="681"/>
      <c r="D16" s="436"/>
      <c r="E16" s="172"/>
      <c r="F16" s="197"/>
      <c r="G16" s="201"/>
      <c r="H16" s="428"/>
      <c r="I16" s="428"/>
      <c r="J16" s="428"/>
      <c r="K16" s="202"/>
      <c r="L16" s="202"/>
      <c r="M16" s="709"/>
      <c r="N16"/>
      <c r="O16" s="131">
        <f si="0" t="shared"/>
      </c>
      <c r="P16" s="328" t="str">
        <f si="1" t="shared"/>
      </c>
      <c r="Q16" s="130"/>
      <c r="R16" s="130"/>
      <c r="S16" s="130"/>
      <c r="T16" s="130"/>
      <c r="U16" s="130"/>
      <c r="V16"/>
      <c r="W16"/>
      <c r="X16" s="127"/>
      <c r="Y16" s="131"/>
      <c r="AA16"/>
    </row>
    <row ht="15" r="17" spans="1:27" x14ac:dyDescent="0.25">
      <c r="A17" s="248"/>
      <c r="B17" s="680"/>
      <c r="C17" s="681"/>
      <c r="D17" s="436"/>
      <c r="E17" s="172"/>
      <c r="F17" s="197"/>
      <c r="G17" s="201"/>
      <c r="H17" s="428"/>
      <c r="I17" s="428"/>
      <c r="J17" s="428"/>
      <c r="K17" s="202"/>
      <c r="L17" s="202"/>
      <c r="M17" s="709"/>
      <c r="N17"/>
      <c r="O17" s="131">
        <f si="0" t="shared"/>
      </c>
      <c r="P17" s="328" t="str">
        <f si="1" t="shared"/>
      </c>
      <c r="Q17" s="130"/>
      <c r="R17" s="130"/>
      <c r="S17" s="130"/>
      <c r="T17" s="130"/>
      <c r="U17" s="130"/>
      <c r="V17"/>
      <c r="W17"/>
      <c r="X17" s="127"/>
      <c r="Y17" s="131"/>
      <c r="AA17"/>
    </row>
    <row customHeight="1" ht="15" r="18" spans="1:27" x14ac:dyDescent="0.25">
      <c r="A18" s="248"/>
      <c r="B18" s="680"/>
      <c r="C18" s="681"/>
      <c r="D18" s="436"/>
      <c r="E18" s="172"/>
      <c r="F18" s="197"/>
      <c r="G18" s="201"/>
      <c r="H18" s="428"/>
      <c r="I18" s="429"/>
      <c r="J18" s="429"/>
      <c r="K18" s="202"/>
      <c r="L18" s="202"/>
      <c r="M18" s="709"/>
      <c r="N18"/>
      <c r="O18" s="131">
        <f si="0" t="shared"/>
      </c>
      <c r="P18" s="328" t="str">
        <f si="1" t="shared"/>
      </c>
      <c r="Q18" s="130"/>
      <c r="R18" s="130"/>
      <c r="S18" s="130"/>
      <c r="T18" s="130"/>
      <c r="U18" s="130"/>
      <c r="V18"/>
      <c r="W18"/>
      <c r="X18" s="127"/>
      <c r="Y18" s="131"/>
      <c r="AA18"/>
    </row>
    <row customHeight="1" ht="15.75" r="19" spans="1:27" x14ac:dyDescent="0.25">
      <c r="A19" s="248"/>
      <c r="B19" s="680"/>
      <c r="C19" s="681"/>
      <c r="D19" s="436"/>
      <c r="E19" s="172"/>
      <c r="F19" s="197"/>
      <c r="G19" s="203"/>
      <c r="H19" s="428"/>
      <c r="I19" s="429"/>
      <c r="J19" s="429"/>
      <c r="K19" s="204"/>
      <c r="L19" s="204"/>
      <c r="M19" s="709"/>
      <c r="N19"/>
      <c r="O19" s="131">
        <f si="0" t="shared"/>
      </c>
      <c r="P19" s="328" t="str">
        <f si="1" t="shared"/>
      </c>
      <c r="T19" s="127"/>
      <c r="U19" s="127"/>
      <c r="V19"/>
      <c r="AA19"/>
    </row>
    <row customHeight="1" ht="13.5" r="20" spans="1:27" x14ac:dyDescent="0.25">
      <c r="A20" s="248"/>
      <c r="B20" s="680"/>
      <c r="C20" s="681"/>
      <c r="D20" s="436"/>
      <c r="E20" s="172"/>
      <c r="F20" s="197"/>
      <c r="G20" s="201"/>
      <c r="H20" s="428"/>
      <c r="I20" s="428"/>
      <c r="J20" s="428"/>
      <c r="K20" s="202"/>
      <c r="L20" s="202"/>
      <c r="M20" s="709"/>
      <c r="N20"/>
      <c r="O20" s="131">
        <f si="0" t="shared"/>
      </c>
      <c r="P20" s="328" t="str">
        <f si="1" t="shared"/>
      </c>
      <c r="T20" s="127"/>
      <c r="U20" s="127"/>
      <c r="V20"/>
      <c r="AA20"/>
    </row>
    <row ht="15" r="21" spans="1:27" x14ac:dyDescent="0.25">
      <c r="A21" s="248"/>
      <c r="B21" s="680"/>
      <c r="C21" s="681"/>
      <c r="D21" s="436"/>
      <c r="E21" s="172"/>
      <c r="F21" s="197"/>
      <c r="G21" s="203"/>
      <c r="H21" s="428"/>
      <c r="I21" s="429"/>
      <c r="J21" s="429"/>
      <c r="K21" s="204"/>
      <c r="L21" s="204"/>
      <c r="M21" s="709"/>
      <c r="N21"/>
      <c r="O21" s="131">
        <f si="0" t="shared"/>
      </c>
      <c r="P21" s="328" t="str">
        <f si="1" t="shared"/>
      </c>
      <c r="V21"/>
      <c r="AA21"/>
    </row>
    <row ht="15" r="22" spans="1:27" x14ac:dyDescent="0.25">
      <c r="A22" s="248"/>
      <c r="B22" s="680"/>
      <c r="C22" s="681"/>
      <c r="D22" s="436"/>
      <c r="E22" s="172"/>
      <c r="F22" s="197"/>
      <c r="G22" s="201"/>
      <c r="H22" s="428"/>
      <c r="I22" s="428"/>
      <c r="J22" s="428"/>
      <c r="K22" s="202"/>
      <c r="L22" s="202"/>
      <c r="M22" s="709"/>
      <c r="N22"/>
      <c r="O22" s="131">
        <f si="0" t="shared"/>
      </c>
      <c r="P22" s="328" t="str">
        <f si="1" t="shared"/>
      </c>
      <c r="V22"/>
      <c r="AA22"/>
    </row>
    <row customHeight="1" ht="12.75" r="23" spans="1:27" x14ac:dyDescent="0.25">
      <c r="A23" s="248"/>
      <c r="B23" s="680"/>
      <c r="C23" s="681"/>
      <c r="D23" s="436"/>
      <c r="E23" s="172"/>
      <c r="F23" s="197"/>
      <c r="G23" s="203"/>
      <c r="H23" s="428"/>
      <c r="I23" s="429"/>
      <c r="J23" s="429"/>
      <c r="K23" s="204"/>
      <c r="L23" s="204"/>
      <c r="M23" s="709"/>
      <c r="N23"/>
      <c r="O23" s="131">
        <f si="0" t="shared"/>
      </c>
      <c r="P23" s="328" t="str">
        <f si="1" t="shared"/>
      </c>
      <c r="S23" s="61"/>
      <c r="V23"/>
      <c r="AA23"/>
    </row>
    <row ht="15" r="24" spans="1:27" x14ac:dyDescent="0.25">
      <c r="A24" s="248"/>
      <c r="B24" s="680"/>
      <c r="C24" s="681"/>
      <c r="D24" s="436"/>
      <c r="E24" s="172"/>
      <c r="F24" s="197"/>
      <c r="G24" s="201"/>
      <c r="H24" s="428"/>
      <c r="I24" s="428"/>
      <c r="J24" s="428"/>
      <c r="K24" s="202"/>
      <c r="L24" s="202"/>
      <c r="M24" s="709"/>
      <c r="N24"/>
      <c r="O24" s="131">
        <f si="0" t="shared"/>
      </c>
      <c r="P24" s="328" t="str">
        <f si="1" t="shared"/>
      </c>
      <c r="S24" s="61"/>
      <c r="V24"/>
      <c r="AA24"/>
    </row>
    <row ht="15" r="25" spans="1:27" x14ac:dyDescent="0.25">
      <c r="A25" s="248"/>
      <c r="B25" s="680"/>
      <c r="C25" s="681"/>
      <c r="D25" s="436"/>
      <c r="E25" s="172"/>
      <c r="F25" s="197"/>
      <c r="G25" s="201"/>
      <c r="H25" s="428"/>
      <c r="I25" s="428"/>
      <c r="J25" s="428"/>
      <c r="K25" s="202"/>
      <c r="L25" s="204"/>
      <c r="M25" s="709"/>
      <c r="N25"/>
      <c r="O25" s="131">
        <f si="0" t="shared"/>
      </c>
      <c r="P25" s="328" t="str">
        <f si="1" t="shared"/>
      </c>
      <c r="S25" s="61"/>
      <c r="V25"/>
      <c r="AA25"/>
    </row>
    <row ht="15" r="26" spans="1:27" x14ac:dyDescent="0.25">
      <c r="A26" s="248"/>
      <c r="B26" s="680"/>
      <c r="C26" s="681"/>
      <c r="D26" s="436"/>
      <c r="E26" s="172"/>
      <c r="F26" s="197"/>
      <c r="G26" s="201"/>
      <c r="H26" s="428"/>
      <c r="I26" s="428"/>
      <c r="J26" s="428"/>
      <c r="K26" s="202"/>
      <c r="L26" s="202"/>
      <c r="M26" s="709"/>
      <c r="N26"/>
      <c r="O26" s="131">
        <f si="0" t="shared"/>
      </c>
      <c r="P26" s="328" t="str">
        <f si="1" t="shared"/>
      </c>
      <c r="V26"/>
      <c r="AA26"/>
    </row>
    <row ht="15" r="27" spans="1:27" x14ac:dyDescent="0.25">
      <c r="A27" s="248"/>
      <c r="B27" s="680"/>
      <c r="C27" s="681"/>
      <c r="D27" s="436"/>
      <c r="E27" s="172"/>
      <c r="F27" s="197"/>
      <c r="G27" s="201"/>
      <c r="H27" s="428"/>
      <c r="I27" s="428"/>
      <c r="J27" s="428"/>
      <c r="K27" s="202"/>
      <c r="L27" s="202"/>
      <c r="M27" s="709"/>
      <c r="N27"/>
      <c r="O27" s="131">
        <f si="0" t="shared"/>
      </c>
      <c r="P27" s="328" t="str">
        <f si="1" t="shared"/>
      </c>
      <c r="V27"/>
      <c r="AA27"/>
    </row>
    <row ht="15" r="28" spans="1:27" x14ac:dyDescent="0.25">
      <c r="A28" s="248"/>
      <c r="B28" s="676"/>
      <c r="C28" s="677"/>
      <c r="D28" s="167"/>
      <c r="E28" s="172"/>
      <c r="F28" s="197"/>
      <c r="G28" s="201"/>
      <c r="H28" s="428"/>
      <c r="I28" s="428"/>
      <c r="J28" s="428"/>
      <c r="K28" s="202"/>
      <c r="L28" s="202"/>
      <c r="M28" s="709"/>
      <c r="N28"/>
      <c r="O28" s="131">
        <f si="0" t="shared"/>
      </c>
      <c r="P28" s="328" t="str">
        <f si="1" t="shared"/>
      </c>
      <c r="V28"/>
      <c r="AA28"/>
    </row>
    <row ht="15" r="29" spans="1:27" x14ac:dyDescent="0.25">
      <c r="A29" s="248"/>
      <c r="B29" s="676"/>
      <c r="C29" s="677"/>
      <c r="D29" s="167"/>
      <c r="E29" s="172"/>
      <c r="F29" s="197"/>
      <c r="G29" s="201"/>
      <c r="H29" s="428"/>
      <c r="I29" s="428"/>
      <c r="J29" s="428"/>
      <c r="K29" s="202"/>
      <c r="L29" s="202"/>
      <c r="M29" s="709"/>
      <c r="N29"/>
      <c r="O29" s="131">
        <f si="0" t="shared"/>
      </c>
      <c r="P29" s="328" t="str">
        <f si="1" t="shared"/>
      </c>
      <c r="V29"/>
      <c r="AA29"/>
    </row>
    <row ht="15" r="30" spans="1:27" x14ac:dyDescent="0.25">
      <c r="A30" s="248"/>
      <c r="B30" s="676"/>
      <c r="C30" s="677"/>
      <c r="D30" s="167"/>
      <c r="E30" s="172"/>
      <c r="F30" s="197"/>
      <c r="G30" s="201"/>
      <c r="H30" s="202"/>
      <c r="I30" s="202"/>
      <c r="J30" s="202"/>
      <c r="K30" s="202"/>
      <c r="L30" s="202"/>
      <c r="M30" s="709"/>
      <c r="N30"/>
      <c r="O30" s="131">
        <f si="0" t="shared"/>
      </c>
      <c r="P30" s="328" t="str">
        <f si="1" t="shared"/>
      </c>
      <c r="V30"/>
      <c r="AA30"/>
    </row>
    <row ht="15" r="31" spans="1:27" x14ac:dyDescent="0.25">
      <c r="A31" s="248"/>
      <c r="B31" s="676"/>
      <c r="C31" s="677"/>
      <c r="D31" s="167"/>
      <c r="E31" s="172"/>
      <c r="F31" s="197"/>
      <c r="G31" s="201"/>
      <c r="H31" s="202"/>
      <c r="I31" s="202"/>
      <c r="J31" s="202"/>
      <c r="K31" s="202"/>
      <c r="L31" s="202"/>
      <c r="M31" s="709"/>
      <c r="N31"/>
      <c r="O31" s="131">
        <f si="0" t="shared"/>
      </c>
      <c r="P31" s="328" t="str">
        <f si="1" t="shared"/>
      </c>
      <c r="V31"/>
      <c r="AA31"/>
    </row>
    <row ht="15" r="32" spans="1:27" x14ac:dyDescent="0.25">
      <c r="A32" s="248"/>
      <c r="B32" s="676"/>
      <c r="C32" s="677"/>
      <c r="D32" s="167"/>
      <c r="E32" s="172"/>
      <c r="F32" s="197"/>
      <c r="G32" s="201"/>
      <c r="H32" s="202"/>
      <c r="I32" s="202"/>
      <c r="J32" s="202"/>
      <c r="K32" s="202"/>
      <c r="L32" s="202"/>
      <c r="M32" s="709"/>
      <c r="N32"/>
      <c r="O32" s="131">
        <f si="0" t="shared"/>
      </c>
      <c r="P32" s="328" t="str">
        <f si="1" t="shared"/>
      </c>
      <c r="V32"/>
      <c r="AA32"/>
    </row>
    <row ht="15" r="33" spans="1:27" x14ac:dyDescent="0.25">
      <c r="A33" s="248"/>
      <c r="B33" s="676"/>
      <c r="C33" s="677"/>
      <c r="D33" s="166"/>
      <c r="E33" s="172"/>
      <c r="F33" s="197"/>
      <c r="G33" s="201"/>
      <c r="H33" s="202"/>
      <c r="I33" s="202"/>
      <c r="J33" s="202"/>
      <c r="K33" s="202"/>
      <c r="L33" s="202"/>
      <c r="M33" s="709"/>
      <c r="N33"/>
      <c r="O33" s="131">
        <f si="0" t="shared"/>
      </c>
      <c r="P33" s="328" t="str">
        <f si="1" t="shared"/>
      </c>
      <c r="V33"/>
      <c r="AA33"/>
    </row>
    <row ht="15" r="34" spans="1:27" x14ac:dyDescent="0.25">
      <c r="A34" s="248"/>
      <c r="B34" s="676"/>
      <c r="C34" s="677"/>
      <c r="D34" s="166"/>
      <c r="E34" s="172"/>
      <c r="F34" s="197"/>
      <c r="G34" s="201"/>
      <c r="H34" s="202"/>
      <c r="I34" s="202"/>
      <c r="J34" s="202"/>
      <c r="K34" s="202"/>
      <c r="L34" s="202"/>
      <c r="M34" s="709"/>
      <c r="N34"/>
      <c r="O34" s="131">
        <f si="0" t="shared"/>
      </c>
      <c r="P34" s="328" t="str">
        <f si="1" t="shared"/>
      </c>
      <c r="V34"/>
    </row>
    <row ht="15" r="35" spans="1:27" x14ac:dyDescent="0.25">
      <c r="A35" s="248"/>
      <c r="B35" s="676"/>
      <c r="C35" s="677"/>
      <c r="D35" s="166"/>
      <c r="E35" s="172"/>
      <c r="F35" s="197"/>
      <c r="G35" s="201"/>
      <c r="H35" s="202"/>
      <c r="I35" s="202"/>
      <c r="J35" s="202"/>
      <c r="K35" s="202"/>
      <c r="L35" s="202"/>
      <c r="M35" s="709"/>
      <c r="N35"/>
      <c r="O35" s="131">
        <f si="0" t="shared"/>
      </c>
      <c r="P35" s="328" t="str">
        <f si="1" t="shared"/>
      </c>
      <c r="V35"/>
    </row>
    <row ht="15" r="36" spans="1:27" x14ac:dyDescent="0.25">
      <c r="A36" s="248"/>
      <c r="B36" s="676"/>
      <c r="C36" s="677"/>
      <c r="D36" s="166"/>
      <c r="E36" s="172"/>
      <c r="F36" s="197"/>
      <c r="G36" s="201"/>
      <c r="H36" s="202"/>
      <c r="I36" s="202"/>
      <c r="J36" s="202"/>
      <c r="K36" s="202"/>
      <c r="L36" s="202"/>
      <c r="M36" s="709"/>
      <c r="N36"/>
      <c r="O36" s="131">
        <f si="0" t="shared"/>
      </c>
      <c r="P36" s="328" t="str">
        <f si="1" t="shared"/>
      </c>
      <c r="V36"/>
    </row>
    <row ht="15" r="37" spans="1:27" x14ac:dyDescent="0.25">
      <c r="A37" s="248"/>
      <c r="B37" s="676"/>
      <c r="C37" s="677"/>
      <c r="D37" s="166"/>
      <c r="E37" s="172"/>
      <c r="F37" s="197"/>
      <c r="G37" s="201"/>
      <c r="H37" s="202"/>
      <c r="I37" s="202"/>
      <c r="J37" s="202"/>
      <c r="K37" s="202"/>
      <c r="L37" s="202"/>
      <c r="M37" s="709"/>
      <c r="N37"/>
      <c r="O37" s="127"/>
      <c r="P37" s="127"/>
      <c r="V37"/>
    </row>
    <row ht="15" r="38" spans="1:27" x14ac:dyDescent="0.25">
      <c r="A38" s="248"/>
      <c r="B38" s="676"/>
      <c r="C38" s="677"/>
      <c r="D38" s="166"/>
      <c r="E38" s="172"/>
      <c r="F38" s="197"/>
      <c r="G38" s="201"/>
      <c r="H38" s="202"/>
      <c r="I38" s="202"/>
      <c r="J38" s="202"/>
      <c r="K38" s="202"/>
      <c r="L38" s="202"/>
      <c r="M38" s="709"/>
      <c r="N38"/>
      <c r="O38" s="127"/>
      <c r="P38" s="127"/>
    </row>
    <row ht="15" r="39" spans="1:27" x14ac:dyDescent="0.25">
      <c r="A39" s="248"/>
      <c r="B39" s="676"/>
      <c r="C39" s="677"/>
      <c r="D39" s="166"/>
      <c r="E39" s="172"/>
      <c r="F39" s="197"/>
      <c r="G39" s="201"/>
      <c r="H39" s="202"/>
      <c r="I39" s="202"/>
      <c r="J39" s="202"/>
      <c r="K39" s="202"/>
      <c r="L39" s="202"/>
      <c r="M39" s="709"/>
      <c r="N39"/>
      <c r="O39" s="127"/>
      <c r="P39" s="127"/>
    </row>
    <row ht="15" r="40" spans="1:27" x14ac:dyDescent="0.25">
      <c r="A40" s="248"/>
      <c r="B40" s="676"/>
      <c r="C40" s="677"/>
      <c r="D40" s="166"/>
      <c r="E40" s="172"/>
      <c r="F40" s="197"/>
      <c r="G40" s="201"/>
      <c r="H40" s="202"/>
      <c r="I40" s="202"/>
      <c r="J40" s="202"/>
      <c r="K40" s="202"/>
      <c r="L40" s="202"/>
      <c r="M40" s="709"/>
      <c r="N40"/>
      <c r="O40" s="127"/>
      <c r="P40" s="127"/>
    </row>
    <row ht="15" r="41" spans="1:27" x14ac:dyDescent="0.25">
      <c r="A41" s="248"/>
      <c r="B41" s="676"/>
      <c r="C41" s="677"/>
      <c r="D41" s="166"/>
      <c r="E41" s="172"/>
      <c r="F41" s="197"/>
      <c r="G41" s="201"/>
      <c r="H41" s="202"/>
      <c r="I41" s="202"/>
      <c r="J41" s="202"/>
      <c r="K41" s="202"/>
      <c r="L41" s="202"/>
      <c r="M41" s="709"/>
      <c r="N41"/>
      <c r="O41" s="127"/>
      <c r="P41" s="127"/>
    </row>
    <row ht="15" r="42" spans="1:27" x14ac:dyDescent="0.25">
      <c r="A42" s="248"/>
      <c r="B42" s="676"/>
      <c r="C42" s="677"/>
      <c r="D42" s="166"/>
      <c r="E42" s="172"/>
      <c r="F42" s="197"/>
      <c r="G42" s="201"/>
      <c r="H42" s="202"/>
      <c r="I42" s="202"/>
      <c r="J42" s="202"/>
      <c r="K42" s="202"/>
      <c r="L42" s="202"/>
      <c r="M42" s="709"/>
      <c r="N42"/>
      <c r="O42" s="127"/>
      <c r="P42" s="127"/>
    </row>
    <row ht="15" r="43" spans="1:27" x14ac:dyDescent="0.25">
      <c r="A43" s="248"/>
      <c r="B43" s="676"/>
      <c r="C43" s="677"/>
      <c r="D43" s="166"/>
      <c r="E43" s="172"/>
      <c r="F43" s="197"/>
      <c r="G43" s="201"/>
      <c r="H43" s="202"/>
      <c r="I43" s="202"/>
      <c r="J43" s="202"/>
      <c r="K43" s="202"/>
      <c r="L43" s="202"/>
      <c r="M43" s="709"/>
      <c r="N43"/>
      <c r="O43" s="127"/>
      <c r="P43" s="127"/>
    </row>
    <row ht="15" r="44" spans="1:27" x14ac:dyDescent="0.25">
      <c r="A44" s="248"/>
      <c r="B44" s="676"/>
      <c r="C44" s="677"/>
      <c r="D44" s="166"/>
      <c r="E44" s="172"/>
      <c r="F44" s="197"/>
      <c r="G44" s="201"/>
      <c r="H44" s="202"/>
      <c r="I44" s="202"/>
      <c r="J44" s="202"/>
      <c r="K44" s="202"/>
      <c r="L44" s="202"/>
      <c r="M44" s="709"/>
      <c r="N44"/>
      <c r="O44" s="127"/>
      <c r="P44" s="127"/>
    </row>
    <row ht="15.75" r="45" spans="1:27" thickBot="1" x14ac:dyDescent="0.3">
      <c r="A45" s="249"/>
      <c r="B45" s="678"/>
      <c r="C45" s="679"/>
      <c r="D45" s="171"/>
      <c r="E45" s="173"/>
      <c r="F45" s="198"/>
      <c r="G45" s="205"/>
      <c r="H45" s="206"/>
      <c r="I45" s="206"/>
      <c r="J45" s="206"/>
      <c r="K45" s="206"/>
      <c r="L45" s="206"/>
      <c r="M45" s="710"/>
      <c r="N45"/>
      <c r="R45" s="62"/>
    </row>
    <row ht="15.75" r="46" spans="1:27" thickTop="1" x14ac:dyDescent="0.25">
      <c r="A46" s="132"/>
      <c r="B46" s="445"/>
      <c r="C46" s="132"/>
      <c r="D46" s="132"/>
      <c r="E46" s="132"/>
      <c r="F46" s="132"/>
      <c r="G46" s="132"/>
      <c r="H46" s="132"/>
      <c r="I46" s="132"/>
      <c r="J46" s="132"/>
      <c r="K46" s="132"/>
      <c r="N46"/>
      <c r="O46" s="127" t="s">
        <v>444</v>
      </c>
      <c r="R46" s="62"/>
    </row>
    <row hidden="1" outlineLevel="1" r="47" spans="1:27" x14ac:dyDescent="0.2">
      <c r="A47" s="132"/>
      <c r="B47" s="445"/>
      <c r="C47" s="132"/>
      <c r="D47" s="132"/>
      <c r="E47" s="132"/>
      <c r="F47" s="132"/>
      <c r="G47" s="132"/>
      <c r="H47" s="132"/>
      <c r="I47" s="132"/>
      <c r="J47" s="132"/>
      <c r="K47" s="132"/>
      <c r="R47" s="62"/>
    </row>
    <row hidden="1" outlineLevel="1" r="48" spans="1:27" x14ac:dyDescent="0.2">
      <c r="A48" s="168" t="s">
        <v>445</v>
      </c>
      <c r="B48" s="478"/>
      <c r="C48" s="132" t="s">
        <v>446</v>
      </c>
      <c r="D48" s="132"/>
      <c r="E48" s="132"/>
      <c r="F48" s="132"/>
      <c r="G48" s="133">
        <v>25</v>
      </c>
      <c r="H48" s="133">
        <v>25</v>
      </c>
      <c r="I48" s="133">
        <v>25</v>
      </c>
      <c r="J48" s="133">
        <v>25</v>
      </c>
      <c r="K48" s="133">
        <v>25</v>
      </c>
      <c r="L48" s="127">
        <v>3</v>
      </c>
      <c r="R48" s="62"/>
    </row>
    <row hidden="1" outlineLevel="1" r="49" spans="1:18" x14ac:dyDescent="0.2">
      <c r="A49" s="695" t="s">
        <v>424</v>
      </c>
      <c r="B49" s="444"/>
      <c r="C49" s="695" t="s">
        <v>426</v>
      </c>
      <c r="D49" s="695"/>
      <c r="E49" s="695"/>
      <c r="F49" s="125"/>
      <c r="G49" s="694" t="s">
        <v>447</v>
      </c>
      <c r="H49" s="694"/>
      <c r="I49" s="694"/>
      <c r="J49" s="694"/>
      <c r="K49" s="694"/>
      <c r="L49" s="694"/>
      <c r="M49" s="144" t="s">
        <v>448</v>
      </c>
      <c r="R49" s="62"/>
    </row>
    <row hidden="1" outlineLevel="1" r="50" spans="1:18" x14ac:dyDescent="0.2">
      <c r="A50" s="695"/>
      <c r="B50" s="444"/>
      <c r="C50" s="695"/>
      <c r="D50" s="695"/>
      <c r="E50" s="695"/>
      <c r="F50" s="125"/>
      <c r="G50" s="253">
        <v>0</v>
      </c>
      <c r="H50" s="253">
        <v>1</v>
      </c>
      <c r="I50" s="253">
        <v>2</v>
      </c>
      <c r="J50" s="253">
        <v>3</v>
      </c>
      <c r="K50" s="253">
        <v>4</v>
      </c>
      <c r="L50" s="253">
        <v>5</v>
      </c>
      <c r="M50" s="144"/>
      <c r="R50" s="62"/>
    </row>
    <row hidden="1" outlineLevel="1" r="51" spans="1:18" x14ac:dyDescent="0.2">
      <c r="A51" s="228">
        <f ref="A51:C65" si="2" t="shared">+A14</f>
      </c>
      <c r="B51" s="228"/>
      <c r="C51" s="229" t="str">
        <f ref="C51:C64" si="3" t="shared">+B14</f>
      </c>
      <c r="D51" s="228"/>
      <c r="E51" s="228"/>
      <c r="F51" s="228"/>
      <c r="G51" s="228">
        <f ref="G51:L65" si="4" t="shared">+G14/G$48*100</f>
      </c>
      <c r="H51" s="228">
        <f si="4" t="shared"/>
      </c>
      <c r="I51" s="228">
        <f si="4" t="shared"/>
      </c>
      <c r="J51" s="228">
        <f si="4" t="shared"/>
      </c>
      <c r="K51" s="228">
        <f si="4" t="shared"/>
      </c>
      <c r="L51" s="228">
        <f si="4" t="shared"/>
      </c>
      <c r="M51" s="145"/>
      <c r="N51" s="146"/>
      <c r="R51" s="62"/>
    </row>
    <row hidden="1" outlineLevel="1" r="52" spans="1:18" x14ac:dyDescent="0.2">
      <c r="A52" s="166">
        <f si="2" t="shared"/>
      </c>
      <c r="B52" s="166"/>
      <c r="C52" s="230" t="str">
        <f si="3" t="shared"/>
      </c>
      <c r="D52" s="166"/>
      <c r="E52" s="166"/>
      <c r="F52" s="166"/>
      <c r="G52" s="166">
        <f si="4" t="shared"/>
      </c>
      <c r="H52" s="166">
        <f si="4" t="shared"/>
      </c>
      <c r="I52" s="166">
        <f si="4" t="shared"/>
      </c>
      <c r="J52" s="166">
        <f si="4" t="shared"/>
      </c>
      <c r="K52" s="166">
        <f si="4" t="shared"/>
      </c>
      <c r="L52" s="166">
        <f si="4" t="shared"/>
      </c>
      <c r="M52" s="145"/>
      <c r="N52" s="146"/>
      <c r="R52" s="62"/>
    </row>
    <row hidden="1" outlineLevel="1" r="53" spans="1:18" x14ac:dyDescent="0.2">
      <c r="A53" s="166">
        <f si="2" t="shared"/>
      </c>
      <c r="B53" s="166"/>
      <c r="C53" s="230" t="str">
        <f si="3" t="shared"/>
      </c>
      <c r="D53" s="166"/>
      <c r="E53" s="166"/>
      <c r="F53" s="166"/>
      <c r="G53" s="166">
        <f si="4" t="shared"/>
      </c>
      <c r="H53" s="166">
        <f si="4" t="shared"/>
      </c>
      <c r="I53" s="166">
        <f si="4" t="shared"/>
      </c>
      <c r="J53" s="166">
        <f si="4" t="shared"/>
      </c>
      <c r="K53" s="166">
        <f si="4" t="shared"/>
      </c>
      <c r="L53" s="166">
        <f si="4" t="shared"/>
      </c>
      <c r="M53" s="145"/>
      <c r="N53" s="146"/>
      <c r="R53" s="63"/>
    </row>
    <row hidden="1" outlineLevel="1" r="54" spans="1:18" x14ac:dyDescent="0.2">
      <c r="A54" s="166">
        <f si="2" t="shared"/>
      </c>
      <c r="B54" s="166"/>
      <c r="C54" s="230" t="str">
        <f si="3" t="shared"/>
      </c>
      <c r="D54" s="166"/>
      <c r="E54" s="166"/>
      <c r="F54" s="166"/>
      <c r="G54" s="166">
        <f si="4" t="shared"/>
      </c>
      <c r="H54" s="166">
        <f si="4" t="shared"/>
      </c>
      <c r="I54" s="166">
        <f si="4" t="shared"/>
      </c>
      <c r="J54" s="166">
        <f si="4" t="shared"/>
      </c>
      <c r="K54" s="166">
        <f si="4" t="shared"/>
      </c>
      <c r="L54" s="166">
        <f si="4" t="shared"/>
      </c>
      <c r="M54" s="145"/>
      <c r="N54" s="146"/>
    </row>
    <row hidden="1" outlineLevel="1" r="55" spans="1:18" x14ac:dyDescent="0.2">
      <c r="A55" s="166">
        <f si="2" t="shared"/>
      </c>
      <c r="B55" s="166"/>
      <c r="C55" s="230" t="str">
        <f si="3" t="shared"/>
      </c>
      <c r="D55" s="166"/>
      <c r="E55" s="166"/>
      <c r="F55" s="166"/>
      <c r="G55" s="166">
        <f si="4" t="shared"/>
      </c>
      <c r="H55" s="166">
        <f si="4" t="shared"/>
      </c>
      <c r="I55" s="166">
        <f si="4" t="shared"/>
      </c>
      <c r="J55" s="166">
        <f si="4" t="shared"/>
      </c>
      <c r="K55" s="166">
        <f si="4" t="shared"/>
      </c>
      <c r="L55" s="166">
        <f si="4" t="shared"/>
      </c>
      <c r="M55" s="145"/>
      <c r="N55" s="146"/>
    </row>
    <row hidden="1" outlineLevel="1" r="56" spans="1:18" x14ac:dyDescent="0.2">
      <c r="A56" s="166">
        <f si="2" t="shared"/>
      </c>
      <c r="B56" s="166"/>
      <c r="C56" s="230" t="str">
        <f si="3" t="shared"/>
      </c>
      <c r="D56" s="166"/>
      <c r="E56" s="166"/>
      <c r="F56" s="166"/>
      <c r="G56" s="166">
        <f si="4" t="shared"/>
      </c>
      <c r="H56" s="166">
        <f si="4" t="shared"/>
      </c>
      <c r="I56" s="166">
        <f si="4" t="shared"/>
      </c>
      <c r="J56" s="166">
        <f si="4" t="shared"/>
      </c>
      <c r="K56" s="166">
        <f si="4" t="shared"/>
      </c>
      <c r="L56" s="166">
        <f si="4" t="shared"/>
      </c>
      <c r="M56" s="145"/>
      <c r="N56" s="146"/>
    </row>
    <row hidden="1" outlineLevel="1" r="57" spans="1:18" x14ac:dyDescent="0.2">
      <c r="A57" s="166">
        <f si="2" t="shared"/>
      </c>
      <c r="B57" s="166"/>
      <c r="C57" s="230" t="str">
        <f si="3" t="shared"/>
      </c>
      <c r="D57" s="167"/>
      <c r="E57" s="167"/>
      <c r="F57" s="167"/>
      <c r="G57" s="166">
        <f si="4" t="shared"/>
      </c>
      <c r="H57" s="166">
        <f si="4" t="shared"/>
      </c>
      <c r="I57" s="166">
        <f si="4" t="shared"/>
      </c>
      <c r="J57" s="166">
        <f si="4" t="shared"/>
      </c>
      <c r="K57" s="166">
        <f si="4" t="shared"/>
      </c>
      <c r="L57" s="166">
        <f si="4" t="shared"/>
      </c>
      <c r="M57" s="147"/>
      <c r="N57" s="148"/>
    </row>
    <row hidden="1" outlineLevel="1" r="58" spans="1:18" x14ac:dyDescent="0.2">
      <c r="A58" s="166">
        <f si="2" t="shared"/>
      </c>
      <c r="B58" s="166"/>
      <c r="C58" s="230" t="str">
        <f si="3" t="shared"/>
      </c>
      <c r="D58" s="166"/>
      <c r="E58" s="166"/>
      <c r="F58" s="166"/>
      <c r="G58" s="166">
        <f si="4" t="shared"/>
      </c>
      <c r="H58" s="166">
        <f si="4" t="shared"/>
      </c>
      <c r="I58" s="166">
        <f si="4" t="shared"/>
      </c>
      <c r="J58" s="166">
        <f si="4" t="shared"/>
      </c>
      <c r="K58" s="166">
        <f si="4" t="shared"/>
      </c>
      <c r="L58" s="166">
        <f si="4" t="shared"/>
      </c>
      <c r="M58" s="145"/>
      <c r="N58" s="146"/>
    </row>
    <row hidden="1" outlineLevel="1" r="59" spans="1:18" x14ac:dyDescent="0.2">
      <c r="A59" s="166">
        <f si="2" t="shared"/>
      </c>
      <c r="B59" s="166"/>
      <c r="C59" s="230" t="str">
        <f si="3" t="shared"/>
      </c>
      <c r="D59" s="166"/>
      <c r="E59" s="166"/>
      <c r="F59" s="166"/>
      <c r="G59" s="166">
        <f si="4" t="shared"/>
      </c>
      <c r="H59" s="166">
        <f si="4" t="shared"/>
      </c>
      <c r="I59" s="166">
        <f si="4" t="shared"/>
      </c>
      <c r="J59" s="166">
        <f si="4" t="shared"/>
      </c>
      <c r="K59" s="166">
        <f si="4" t="shared"/>
      </c>
      <c r="L59" s="166">
        <f si="4" t="shared"/>
      </c>
      <c r="M59" s="145"/>
      <c r="N59" s="146"/>
    </row>
    <row hidden="1" outlineLevel="1" r="60" spans="1:18" x14ac:dyDescent="0.2">
      <c r="A60" s="166">
        <f si="2" t="shared"/>
      </c>
      <c r="B60" s="166"/>
      <c r="C60" s="230" t="str">
        <f si="3" t="shared"/>
      </c>
      <c r="D60" s="166"/>
      <c r="E60" s="166"/>
      <c r="F60" s="166"/>
      <c r="G60" s="166">
        <f si="4" t="shared"/>
      </c>
      <c r="H60" s="166">
        <f si="4" t="shared"/>
      </c>
      <c r="I60" s="166">
        <f si="4" t="shared"/>
      </c>
      <c r="J60" s="166">
        <f si="4" t="shared"/>
      </c>
      <c r="K60" s="166">
        <f si="4" t="shared"/>
      </c>
      <c r="L60" s="166">
        <f si="4" t="shared"/>
      </c>
      <c r="M60" s="145"/>
      <c r="N60" s="146"/>
    </row>
    <row hidden="1" outlineLevel="1" r="61" spans="1:18" x14ac:dyDescent="0.2">
      <c r="A61" s="166">
        <f si="2" t="shared"/>
      </c>
      <c r="B61" s="166"/>
      <c r="C61" s="230" t="str">
        <f si="3" t="shared"/>
      </c>
      <c r="D61" s="166"/>
      <c r="E61" s="166"/>
      <c r="F61" s="166"/>
      <c r="G61" s="166">
        <f si="4" t="shared"/>
      </c>
      <c r="H61" s="166">
        <f si="4" t="shared"/>
      </c>
      <c r="I61" s="166">
        <f si="4" t="shared"/>
      </c>
      <c r="J61" s="166">
        <f si="4" t="shared"/>
      </c>
      <c r="K61" s="166">
        <f si="4" t="shared"/>
      </c>
      <c r="L61" s="166">
        <f si="4" t="shared"/>
      </c>
      <c r="M61" s="145"/>
      <c r="N61" s="146"/>
    </row>
    <row hidden="1" outlineLevel="1" r="62" spans="1:18" x14ac:dyDescent="0.2">
      <c r="A62" s="166">
        <f si="2" t="shared"/>
      </c>
      <c r="B62" s="166"/>
      <c r="C62" s="230" t="str">
        <f si="3" t="shared"/>
      </c>
      <c r="D62" s="166"/>
      <c r="E62" s="166"/>
      <c r="F62" s="166"/>
      <c r="G62" s="166">
        <f si="4" t="shared"/>
      </c>
      <c r="H62" s="166">
        <f si="4" t="shared"/>
      </c>
      <c r="I62" s="166">
        <f si="4" t="shared"/>
      </c>
      <c r="J62" s="166">
        <f si="4" t="shared"/>
      </c>
      <c r="K62" s="166">
        <f si="4" t="shared"/>
      </c>
      <c r="L62" s="166">
        <f si="4" t="shared"/>
      </c>
      <c r="M62" s="145"/>
      <c r="N62" s="146"/>
    </row>
    <row hidden="1" outlineLevel="1" r="63" spans="1:18" x14ac:dyDescent="0.2">
      <c r="A63" s="166">
        <f si="2" t="shared"/>
      </c>
      <c r="B63" s="166"/>
      <c r="C63" s="230" t="str">
        <f si="3" t="shared"/>
      </c>
      <c r="D63" s="166"/>
      <c r="E63" s="166"/>
      <c r="F63" s="166"/>
      <c r="G63" s="166">
        <f si="4" t="shared"/>
      </c>
      <c r="H63" s="166">
        <f si="4" t="shared"/>
      </c>
      <c r="I63" s="166">
        <f si="4" t="shared"/>
      </c>
      <c r="J63" s="166">
        <f si="4" t="shared"/>
      </c>
      <c r="K63" s="166">
        <f si="4" t="shared"/>
      </c>
      <c r="L63" s="166">
        <f si="4" t="shared"/>
      </c>
      <c r="M63" s="145"/>
      <c r="N63" s="146"/>
    </row>
    <row hidden="1" outlineLevel="1" r="64" spans="1:18" x14ac:dyDescent="0.2">
      <c r="A64" s="166">
        <f si="2" t="shared"/>
      </c>
      <c r="B64" s="166"/>
      <c r="C64" s="230" t="str">
        <f si="3" t="shared"/>
      </c>
      <c r="D64" s="166"/>
      <c r="E64" s="166"/>
      <c r="F64" s="166"/>
      <c r="G64" s="166">
        <f si="4" t="shared"/>
      </c>
      <c r="H64" s="166">
        <f si="4" t="shared"/>
      </c>
      <c r="I64" s="166">
        <f si="4" t="shared"/>
      </c>
      <c r="J64" s="166">
        <f si="4" t="shared"/>
      </c>
      <c r="K64" s="166">
        <f si="4" t="shared"/>
      </c>
      <c r="L64" s="166">
        <f si="4" t="shared"/>
      </c>
      <c r="M64" s="145"/>
      <c r="N64" s="146"/>
    </row>
    <row hidden="1" outlineLevel="1" r="65" spans="1:14" x14ac:dyDescent="0.2">
      <c r="A65" s="166">
        <f si="2" t="shared"/>
      </c>
      <c r="B65" s="166"/>
      <c r="C65" s="230">
        <f si="2" t="shared"/>
      </c>
      <c r="D65" s="166"/>
      <c r="E65" s="166"/>
      <c r="F65" s="166"/>
      <c r="G65" s="166">
        <f si="4" t="shared"/>
      </c>
      <c r="H65" s="166">
        <f si="4" t="shared"/>
      </c>
      <c r="I65" s="166">
        <f si="4" t="shared"/>
      </c>
      <c r="J65" s="166">
        <f si="4" t="shared"/>
      </c>
      <c r="K65" s="166">
        <f si="4" t="shared"/>
      </c>
      <c r="L65" s="166">
        <f si="4" t="shared"/>
      </c>
      <c r="M65" s="145"/>
      <c r="N65" s="146"/>
    </row>
    <row hidden="1" outlineLevel="1" r="66" spans="1:14" x14ac:dyDescent="0.2">
      <c r="A66" s="166">
        <f ref="A66:C80" si="5" t="shared">+A30</f>
      </c>
      <c r="B66" s="166"/>
      <c r="C66" s="230">
        <f si="5" t="shared"/>
      </c>
      <c r="D66" s="166"/>
      <c r="E66" s="166"/>
      <c r="F66" s="166"/>
      <c r="G66" s="166">
        <f ref="G66:L66" si="6" t="shared">+G30/G$48*100</f>
      </c>
      <c r="H66" s="166">
        <f si="6" t="shared"/>
      </c>
      <c r="I66" s="166">
        <f si="6" t="shared"/>
      </c>
      <c r="J66" s="166">
        <f si="6" t="shared"/>
      </c>
      <c r="K66" s="166">
        <f si="6" t="shared"/>
      </c>
      <c r="L66" s="166">
        <f si="6" t="shared"/>
      </c>
      <c r="M66" s="145"/>
      <c r="N66" s="146"/>
    </row>
    <row hidden="1" outlineLevel="1" r="67" spans="1:14" x14ac:dyDescent="0.2">
      <c r="A67" s="166">
        <f si="5" t="shared"/>
      </c>
      <c r="B67" s="166"/>
      <c r="C67" s="230">
        <f si="5" t="shared"/>
      </c>
      <c r="D67" s="166"/>
      <c r="E67" s="166"/>
      <c r="F67" s="166"/>
      <c r="G67" s="166">
        <f ref="G67:L67" si="7" t="shared">+G31/G$48*100</f>
      </c>
      <c r="H67" s="166">
        <f si="7" t="shared"/>
      </c>
      <c r="I67" s="166">
        <f si="7" t="shared"/>
      </c>
      <c r="J67" s="166">
        <f si="7" t="shared"/>
      </c>
      <c r="K67" s="166">
        <f si="7" t="shared"/>
      </c>
      <c r="L67" s="166">
        <f si="7" t="shared"/>
      </c>
      <c r="M67" s="145"/>
      <c r="N67" s="146"/>
    </row>
    <row hidden="1" outlineLevel="1" r="68" spans="1:14" x14ac:dyDescent="0.2">
      <c r="A68" s="166">
        <f si="5" t="shared"/>
      </c>
      <c r="B68" s="166"/>
      <c r="C68" s="230">
        <f si="5" t="shared"/>
      </c>
      <c r="D68" s="166"/>
      <c r="E68" s="166"/>
      <c r="F68" s="166"/>
      <c r="G68" s="166">
        <f ref="G68:L68" si="8" t="shared">+G32/G$48*100</f>
      </c>
      <c r="H68" s="166">
        <f si="8" t="shared"/>
      </c>
      <c r="I68" s="166">
        <f si="8" t="shared"/>
      </c>
      <c r="J68" s="166">
        <f si="8" t="shared"/>
      </c>
      <c r="K68" s="166">
        <f si="8" t="shared"/>
      </c>
      <c r="L68" s="166">
        <f si="8" t="shared"/>
      </c>
      <c r="M68" s="145"/>
      <c r="N68" s="146"/>
    </row>
    <row hidden="1" outlineLevel="1" r="69" spans="1:14" x14ac:dyDescent="0.2">
      <c r="A69" s="166">
        <f si="5" t="shared"/>
      </c>
      <c r="B69" s="166"/>
      <c r="C69" s="230">
        <f si="5" t="shared"/>
      </c>
      <c r="D69" s="166"/>
      <c r="E69" s="166"/>
      <c r="F69" s="166"/>
      <c r="G69" s="166">
        <f ref="G69:L69" si="9" t="shared">+G33/G$48*100</f>
      </c>
      <c r="H69" s="166">
        <f si="9" t="shared"/>
      </c>
      <c r="I69" s="166">
        <f si="9" t="shared"/>
      </c>
      <c r="J69" s="166">
        <f si="9" t="shared"/>
      </c>
      <c r="K69" s="166">
        <f si="9" t="shared"/>
      </c>
      <c r="L69" s="166">
        <f si="9" t="shared"/>
      </c>
      <c r="M69" s="145"/>
      <c r="N69" s="146"/>
    </row>
    <row hidden="1" outlineLevel="1" r="70" spans="1:14" x14ac:dyDescent="0.2">
      <c r="A70" s="166">
        <f si="5" t="shared"/>
      </c>
      <c r="B70" s="166"/>
      <c r="C70" s="230">
        <f si="5" t="shared"/>
      </c>
      <c r="D70" s="166"/>
      <c r="E70" s="166"/>
      <c r="F70" s="166"/>
      <c r="G70" s="166">
        <f ref="G70:L70" si="10" t="shared">+G34/G$48*100</f>
      </c>
      <c r="H70" s="166">
        <f si="10" t="shared"/>
      </c>
      <c r="I70" s="166">
        <f si="10" t="shared"/>
      </c>
      <c r="J70" s="166">
        <f si="10" t="shared"/>
      </c>
      <c r="K70" s="166">
        <f si="10" t="shared"/>
      </c>
      <c r="L70" s="166">
        <f si="10" t="shared"/>
      </c>
      <c r="M70" s="145"/>
      <c r="N70" s="146"/>
    </row>
    <row hidden="1" outlineLevel="1" r="71" spans="1:14" x14ac:dyDescent="0.2">
      <c r="A71" s="166">
        <f si="5" t="shared"/>
      </c>
      <c r="B71" s="166"/>
      <c r="C71" s="230">
        <f si="5" t="shared"/>
      </c>
      <c r="D71" s="166"/>
      <c r="E71" s="166"/>
      <c r="F71" s="166"/>
      <c r="G71" s="166">
        <f ref="G71:L71" si="11" t="shared">+G35/G$48*100</f>
      </c>
      <c r="H71" s="166">
        <f si="11" t="shared"/>
      </c>
      <c r="I71" s="166">
        <f si="11" t="shared"/>
      </c>
      <c r="J71" s="166">
        <f si="11" t="shared"/>
      </c>
      <c r="K71" s="166">
        <f si="11" t="shared"/>
      </c>
      <c r="L71" s="166">
        <f si="11" t="shared"/>
      </c>
      <c r="M71" s="145"/>
      <c r="N71" s="146"/>
    </row>
    <row hidden="1" outlineLevel="1" r="72" spans="1:14" x14ac:dyDescent="0.2">
      <c r="A72" s="166">
        <f si="5" t="shared"/>
      </c>
      <c r="B72" s="166"/>
      <c r="C72" s="230">
        <f si="5" t="shared"/>
      </c>
      <c r="D72" s="166"/>
      <c r="E72" s="166"/>
      <c r="F72" s="166"/>
      <c r="G72" s="166">
        <f ref="G72:L72" si="12" t="shared">+G36/G$48*100</f>
      </c>
      <c r="H72" s="166">
        <f si="12" t="shared"/>
      </c>
      <c r="I72" s="166">
        <f si="12" t="shared"/>
      </c>
      <c r="J72" s="166">
        <f si="12" t="shared"/>
      </c>
      <c r="K72" s="166">
        <f si="12" t="shared"/>
      </c>
      <c r="L72" s="166">
        <f si="12" t="shared"/>
      </c>
      <c r="M72" s="145"/>
      <c r="N72" s="146"/>
    </row>
    <row hidden="1" outlineLevel="1" r="73" spans="1:14" x14ac:dyDescent="0.2">
      <c r="A73" s="166">
        <f si="5" t="shared"/>
      </c>
      <c r="B73" s="166"/>
      <c r="C73" s="230">
        <f si="5" t="shared"/>
      </c>
      <c r="D73" s="166"/>
      <c r="E73" s="166"/>
      <c r="F73" s="166"/>
      <c r="G73" s="166">
        <f ref="G73:L73" si="13" t="shared">+G37/G$48*100</f>
      </c>
      <c r="H73" s="166">
        <f si="13" t="shared"/>
      </c>
      <c r="I73" s="166">
        <f si="13" t="shared"/>
      </c>
      <c r="J73" s="166">
        <f si="13" t="shared"/>
      </c>
      <c r="K73" s="166">
        <f si="13" t="shared"/>
      </c>
      <c r="L73" s="166">
        <f si="13" t="shared"/>
      </c>
      <c r="M73" s="145"/>
      <c r="N73" s="146"/>
    </row>
    <row hidden="1" outlineLevel="1" r="74" spans="1:14" x14ac:dyDescent="0.2">
      <c r="A74" s="166">
        <f si="5" t="shared"/>
      </c>
      <c r="B74" s="166"/>
      <c r="C74" s="230">
        <f si="5" t="shared"/>
      </c>
      <c r="D74" s="166"/>
      <c r="E74" s="166"/>
      <c r="F74" s="166"/>
      <c r="G74" s="166">
        <f ref="G74:L74" si="14" t="shared">+G38/G$48*100</f>
      </c>
      <c r="H74" s="166">
        <f si="14" t="shared"/>
      </c>
      <c r="I74" s="166">
        <f si="14" t="shared"/>
      </c>
      <c r="J74" s="166">
        <f si="14" t="shared"/>
      </c>
      <c r="K74" s="166">
        <f si="14" t="shared"/>
      </c>
      <c r="L74" s="166">
        <f si="14" t="shared"/>
      </c>
      <c r="M74" s="145"/>
      <c r="N74" s="146"/>
    </row>
    <row hidden="1" outlineLevel="1" r="75" spans="1:14" x14ac:dyDescent="0.2">
      <c r="A75" s="166">
        <f si="5" t="shared"/>
      </c>
      <c r="B75" s="166"/>
      <c r="C75" s="230">
        <f si="5" t="shared"/>
      </c>
      <c r="D75" s="166"/>
      <c r="E75" s="166"/>
      <c r="F75" s="166"/>
      <c r="G75" s="166">
        <f ref="G75:L75" si="15" t="shared">+G39/G$48*100</f>
      </c>
      <c r="H75" s="166">
        <f si="15" t="shared"/>
      </c>
      <c r="I75" s="166">
        <f si="15" t="shared"/>
      </c>
      <c r="J75" s="166">
        <f si="15" t="shared"/>
      </c>
      <c r="K75" s="166">
        <f si="15" t="shared"/>
      </c>
      <c r="L75" s="166">
        <f si="15" t="shared"/>
      </c>
      <c r="M75" s="145"/>
      <c r="N75" s="146"/>
    </row>
    <row hidden="1" outlineLevel="1" r="76" spans="1:14" x14ac:dyDescent="0.2">
      <c r="A76" s="166">
        <f si="5" t="shared"/>
      </c>
      <c r="B76" s="166"/>
      <c r="C76" s="230">
        <f si="5" t="shared"/>
      </c>
      <c r="D76" s="166"/>
      <c r="E76" s="166"/>
      <c r="F76" s="166"/>
      <c r="G76" s="166">
        <f ref="G76:L76" si="16" t="shared">+G40/G$48*100</f>
      </c>
      <c r="H76" s="166">
        <f si="16" t="shared"/>
      </c>
      <c r="I76" s="166">
        <f si="16" t="shared"/>
      </c>
      <c r="J76" s="166">
        <f si="16" t="shared"/>
      </c>
      <c r="K76" s="166">
        <f si="16" t="shared"/>
      </c>
      <c r="L76" s="166">
        <f si="16" t="shared"/>
      </c>
      <c r="M76" s="145"/>
      <c r="N76" s="146"/>
    </row>
    <row hidden="1" outlineLevel="1" r="77" spans="1:14" x14ac:dyDescent="0.2">
      <c r="A77" s="166">
        <f si="5" t="shared"/>
      </c>
      <c r="B77" s="166"/>
      <c r="C77" s="230">
        <f si="5" t="shared"/>
      </c>
      <c r="D77" s="166"/>
      <c r="E77" s="166"/>
      <c r="F77" s="166"/>
      <c r="G77" s="166">
        <f ref="G77:L77" si="17" t="shared">+G41/G$48*100</f>
      </c>
      <c r="H77" s="166">
        <f si="17" t="shared"/>
      </c>
      <c r="I77" s="166">
        <f si="17" t="shared"/>
      </c>
      <c r="J77" s="166">
        <f si="17" t="shared"/>
      </c>
      <c r="K77" s="166">
        <f si="17" t="shared"/>
      </c>
      <c r="L77" s="166">
        <f si="17" t="shared"/>
      </c>
      <c r="M77" s="145"/>
      <c r="N77" s="146"/>
    </row>
    <row hidden="1" outlineLevel="1" r="78" spans="1:14" x14ac:dyDescent="0.2">
      <c r="A78" s="166">
        <f si="5" t="shared"/>
      </c>
      <c r="B78" s="166"/>
      <c r="C78" s="230">
        <f si="5" t="shared"/>
      </c>
      <c r="D78" s="166"/>
      <c r="E78" s="166"/>
      <c r="F78" s="166"/>
      <c r="G78" s="166">
        <f ref="G78:L78" si="18" t="shared">+G42/G$48*100</f>
      </c>
      <c r="H78" s="166">
        <f si="18" t="shared"/>
      </c>
      <c r="I78" s="166">
        <f si="18" t="shared"/>
      </c>
      <c r="J78" s="166">
        <f si="18" t="shared"/>
      </c>
      <c r="K78" s="166">
        <f si="18" t="shared"/>
      </c>
      <c r="L78" s="166">
        <f si="18" t="shared"/>
      </c>
      <c r="M78" s="145"/>
      <c r="N78" s="146"/>
    </row>
    <row hidden="1" outlineLevel="1" r="79" spans="1:14" x14ac:dyDescent="0.2">
      <c r="A79" s="166">
        <f si="5" t="shared"/>
      </c>
      <c r="B79" s="166"/>
      <c r="C79" s="230">
        <f si="5" t="shared"/>
      </c>
      <c r="D79" s="166"/>
      <c r="E79" s="166"/>
      <c r="F79" s="166"/>
      <c r="G79" s="166">
        <f ref="G79:L79" si="19" t="shared">+G43/G$48*100</f>
      </c>
      <c r="H79" s="166">
        <f si="19" t="shared"/>
      </c>
      <c r="I79" s="166">
        <f si="19" t="shared"/>
      </c>
      <c r="J79" s="166">
        <f si="19" t="shared"/>
      </c>
      <c r="K79" s="166">
        <f si="19" t="shared"/>
      </c>
      <c r="L79" s="166">
        <f si="19" t="shared"/>
      </c>
      <c r="M79" s="145"/>
      <c r="N79" s="146"/>
    </row>
    <row hidden="1" outlineLevel="1" r="80" spans="1:14" x14ac:dyDescent="0.2">
      <c r="A80" s="166">
        <f si="5" t="shared"/>
      </c>
      <c r="B80" s="166"/>
      <c r="C80" s="230">
        <f si="5" t="shared"/>
      </c>
      <c r="D80" s="166"/>
      <c r="E80" s="166"/>
      <c r="F80" s="166"/>
      <c r="G80" s="166">
        <f ref="G80:L80" si="20" t="shared">+G44/G$48*100</f>
      </c>
      <c r="H80" s="166">
        <f si="20" t="shared"/>
      </c>
      <c r="I80" s="166">
        <f si="20" t="shared"/>
      </c>
      <c r="J80" s="166">
        <f si="20" t="shared"/>
      </c>
      <c r="K80" s="166">
        <f si="20" t="shared"/>
      </c>
      <c r="L80" s="166">
        <f si="20" t="shared"/>
      </c>
      <c r="M80" s="145"/>
      <c r="N80" s="146"/>
    </row>
    <row hidden="1" outlineLevel="1" r="81" spans="1:21" x14ac:dyDescent="0.15">
      <c r="A81" s="231"/>
      <c r="B81" s="231"/>
      <c r="C81" s="232"/>
      <c r="D81" s="233"/>
      <c r="E81" s="233"/>
      <c r="F81" s="233"/>
      <c r="G81" s="233"/>
      <c r="H81" s="233"/>
      <c r="I81" s="233"/>
      <c r="J81" s="233"/>
      <c r="K81" s="233"/>
      <c r="L81" s="233"/>
      <c r="M81" s="145"/>
      <c r="N81" s="146"/>
    </row>
    <row customHeight="1" hidden="1" ht="7.5" outlineLevel="1" r="82" spans="1:21" x14ac:dyDescent="0.15">
      <c r="A82" s="135"/>
      <c r="B82" s="135"/>
      <c r="C82" s="136"/>
      <c r="D82" s="137"/>
      <c r="E82" s="137"/>
      <c r="F82" s="137"/>
      <c r="G82" s="137"/>
      <c r="H82" s="137"/>
      <c r="I82" s="137"/>
      <c r="J82" s="137"/>
      <c r="K82" s="137"/>
      <c r="L82" s="137"/>
      <c r="M82" s="145"/>
      <c r="N82" s="146"/>
    </row>
    <row hidden="1" outlineLevel="1" r="83" spans="1:21" x14ac:dyDescent="0.15">
      <c r="A83" s="135"/>
      <c r="B83" s="135"/>
      <c r="C83" s="136"/>
      <c r="D83" s="137"/>
      <c r="E83" s="137"/>
      <c r="F83" s="137"/>
      <c r="G83" s="137"/>
      <c r="H83" s="137"/>
      <c r="I83" s="137"/>
      <c r="J83" s="137"/>
      <c r="K83" s="137"/>
      <c r="L83" s="137"/>
      <c r="M83" s="136"/>
      <c r="N83" s="136"/>
    </row>
    <row hidden="1" outlineLevel="1" r="84" spans="1:21" x14ac:dyDescent="0.2">
      <c r="A84" s="168" t="s">
        <v>449</v>
      </c>
      <c r="B84" s="478"/>
      <c r="C84" s="132" t="s">
        <v>450</v>
      </c>
      <c r="D84" s="132"/>
      <c r="E84" s="132"/>
      <c r="F84" s="132"/>
      <c r="G84" s="133"/>
      <c r="H84" s="133"/>
      <c r="I84" s="133"/>
      <c r="J84" s="133"/>
      <c r="K84" s="133"/>
      <c r="L84" s="127"/>
    </row>
    <row hidden="1" outlineLevel="1" r="85" spans="1:21" x14ac:dyDescent="0.25">
      <c r="A85" s="695" t="s">
        <v>424</v>
      </c>
      <c r="B85" s="444"/>
      <c r="C85" s="695" t="s">
        <v>426</v>
      </c>
      <c r="D85" s="695"/>
      <c r="E85" s="695"/>
      <c r="F85" s="125"/>
      <c r="G85" s="694" t="s">
        <v>447</v>
      </c>
      <c r="H85" s="694"/>
      <c r="I85" s="694"/>
      <c r="J85" s="694"/>
      <c r="K85" s="694"/>
      <c r="L85" s="694"/>
    </row>
    <row hidden="1" outlineLevel="1" r="86" spans="1:21" x14ac:dyDescent="0.25">
      <c r="A86" s="695"/>
      <c r="B86" s="444"/>
      <c r="C86" s="695"/>
      <c r="D86" s="695"/>
      <c r="E86" s="695"/>
      <c r="F86" s="125"/>
      <c r="G86" s="253">
        <v>0</v>
      </c>
      <c r="H86" s="253">
        <v>1</v>
      </c>
      <c r="I86" s="253">
        <v>2</v>
      </c>
      <c r="J86" s="253">
        <v>3</v>
      </c>
      <c r="K86" s="253">
        <v>4</v>
      </c>
      <c r="L86" s="253">
        <v>5</v>
      </c>
      <c r="O86" s="126"/>
      <c r="P86" s="138"/>
      <c r="Q86" s="138"/>
      <c r="R86" s="138"/>
      <c r="S86" s="138"/>
      <c r="T86" s="138"/>
      <c r="U86" s="138"/>
    </row>
    <row hidden="1" outlineLevel="1" r="87" spans="1:21" x14ac:dyDescent="0.15">
      <c r="A87" s="228">
        <f ref="A87:C101" si="21" t="shared">+A14</f>
      </c>
      <c r="B87" s="228"/>
      <c r="C87" s="234" t="str">
        <f ref="C87:C100" si="22" t="shared">+B14</f>
      </c>
      <c r="D87" s="228"/>
      <c r="E87" s="228"/>
      <c r="F87" s="228"/>
      <c r="G87" s="228">
        <f ref="G87:G100" si="23" t="shared">IF(OR(H87&gt;=100,I87&gt;=100,J87&gt;=100),0,+H87+G51)</f>
      </c>
      <c r="H87" s="228">
        <f ref="H87:H100" si="24" t="shared">IF(OR(I87&gt;=100,J87&gt;=100),0,+I87+H51)</f>
      </c>
      <c r="I87" s="228">
        <f ref="I87:I100" si="25" t="shared">IF(J87&gt;=100,0,+J87+I51)</f>
      </c>
      <c r="J87" s="228">
        <f ref="J87:K100" si="26" t="shared">IF(K87&gt;100,0,+K87+J51)</f>
      </c>
      <c r="K87" s="228">
        <f si="26" t="shared"/>
      </c>
      <c r="L87" s="228">
        <f ref="L87:L100" si="27" t="shared">+L51</f>
      </c>
      <c r="O87" s="127"/>
      <c r="P87" s="137"/>
      <c r="Q87" s="137"/>
      <c r="R87" s="137"/>
      <c r="S87" s="137"/>
      <c r="T87" s="137"/>
      <c r="U87" s="137"/>
    </row>
    <row hidden="1" outlineLevel="1" r="88" spans="1:21" x14ac:dyDescent="0.15">
      <c r="A88" s="166">
        <f si="21" t="shared"/>
      </c>
      <c r="B88" s="166"/>
      <c r="C88" s="235" t="str">
        <f si="22" t="shared"/>
      </c>
      <c r="D88" s="166"/>
      <c r="E88" s="166"/>
      <c r="F88" s="166"/>
      <c r="G88" s="166">
        <f si="23" t="shared"/>
      </c>
      <c r="H88" s="166">
        <f si="24" t="shared"/>
      </c>
      <c r="I88" s="166">
        <f si="25" t="shared"/>
      </c>
      <c r="J88" s="166">
        <f si="26" t="shared"/>
      </c>
      <c r="K88" s="166">
        <f si="26" t="shared"/>
      </c>
      <c r="L88" s="166">
        <f si="27" t="shared"/>
      </c>
      <c r="O88" s="127"/>
      <c r="P88" s="137"/>
      <c r="Q88" s="137"/>
      <c r="R88" s="137"/>
      <c r="S88" s="137"/>
      <c r="T88" s="137"/>
      <c r="U88" s="137"/>
    </row>
    <row hidden="1" outlineLevel="1" r="89" spans="1:21" x14ac:dyDescent="0.15">
      <c r="A89" s="166">
        <f si="21" t="shared"/>
      </c>
      <c r="B89" s="166"/>
      <c r="C89" s="235" t="str">
        <f si="22" t="shared"/>
      </c>
      <c r="D89" s="166"/>
      <c r="E89" s="166"/>
      <c r="F89" s="166"/>
      <c r="G89" s="166">
        <f si="23" t="shared"/>
      </c>
      <c r="H89" s="166">
        <f si="24" t="shared"/>
      </c>
      <c r="I89" s="166">
        <f si="25" t="shared"/>
      </c>
      <c r="J89" s="166">
        <f si="26" t="shared"/>
      </c>
      <c r="K89" s="166">
        <f si="26" t="shared"/>
      </c>
      <c r="L89" s="166">
        <f si="27" t="shared"/>
      </c>
      <c r="O89" s="127"/>
      <c r="P89" s="137"/>
      <c r="Q89" s="137"/>
      <c r="R89" s="137"/>
      <c r="S89" s="137"/>
      <c r="T89" s="137"/>
      <c r="U89" s="137"/>
    </row>
    <row hidden="1" outlineLevel="1" r="90" spans="1:21" x14ac:dyDescent="0.15">
      <c r="A90" s="166">
        <f si="21" t="shared"/>
      </c>
      <c r="B90" s="166"/>
      <c r="C90" s="235" t="str">
        <f si="22" t="shared"/>
      </c>
      <c r="D90" s="166"/>
      <c r="E90" s="166"/>
      <c r="F90" s="166"/>
      <c r="G90" s="166">
        <f si="23" t="shared"/>
      </c>
      <c r="H90" s="166">
        <f si="24" t="shared"/>
      </c>
      <c r="I90" s="166">
        <f si="25" t="shared"/>
      </c>
      <c r="J90" s="166">
        <f si="26" t="shared"/>
      </c>
      <c r="K90" s="166">
        <f si="26" t="shared"/>
      </c>
      <c r="L90" s="166">
        <f si="27" t="shared"/>
      </c>
      <c r="O90" s="127"/>
      <c r="P90" s="137"/>
      <c r="Q90" s="137"/>
      <c r="R90" s="137"/>
      <c r="S90" s="137"/>
      <c r="T90" s="137"/>
      <c r="U90" s="137"/>
    </row>
    <row hidden="1" outlineLevel="1" r="91" spans="1:21" x14ac:dyDescent="0.15">
      <c r="A91" s="166">
        <f si="21" t="shared"/>
      </c>
      <c r="B91" s="166"/>
      <c r="C91" s="235" t="str">
        <f si="22" t="shared"/>
      </c>
      <c r="D91" s="166"/>
      <c r="E91" s="166"/>
      <c r="F91" s="166"/>
      <c r="G91" s="166">
        <f si="23" t="shared"/>
      </c>
      <c r="H91" s="166">
        <f si="24" t="shared"/>
      </c>
      <c r="I91" s="166">
        <f si="25" t="shared"/>
      </c>
      <c r="J91" s="166">
        <f si="26" t="shared"/>
      </c>
      <c r="K91" s="166">
        <f si="26" t="shared"/>
      </c>
      <c r="L91" s="166">
        <f si="27" t="shared"/>
      </c>
      <c r="O91" s="127"/>
      <c r="P91" s="137"/>
      <c r="Q91" s="137"/>
      <c r="R91" s="137"/>
      <c r="S91" s="137"/>
      <c r="T91" s="137"/>
      <c r="U91" s="137"/>
    </row>
    <row hidden="1" outlineLevel="1" r="92" spans="1:21" x14ac:dyDescent="0.15">
      <c r="A92" s="166">
        <f si="21" t="shared"/>
      </c>
      <c r="B92" s="166"/>
      <c r="C92" s="235" t="str">
        <f si="22" t="shared"/>
      </c>
      <c r="D92" s="166"/>
      <c r="E92" s="166"/>
      <c r="F92" s="166"/>
      <c r="G92" s="166">
        <f si="23" t="shared"/>
      </c>
      <c r="H92" s="166">
        <f si="24" t="shared"/>
      </c>
      <c r="I92" s="166">
        <f si="25" t="shared"/>
      </c>
      <c r="J92" s="166">
        <f si="26" t="shared"/>
      </c>
      <c r="K92" s="166">
        <f si="26" t="shared"/>
      </c>
      <c r="L92" s="166">
        <f si="27" t="shared"/>
      </c>
      <c r="O92" s="127"/>
      <c r="P92" s="137"/>
      <c r="Q92" s="137"/>
      <c r="R92" s="137"/>
      <c r="S92" s="137"/>
      <c r="T92" s="137"/>
      <c r="U92" s="137"/>
    </row>
    <row hidden="1" outlineLevel="1" r="93" spans="1:21" x14ac:dyDescent="0.15">
      <c r="A93" s="166">
        <f si="21" t="shared"/>
      </c>
      <c r="B93" s="166"/>
      <c r="C93" s="235" t="str">
        <f si="22" t="shared"/>
      </c>
      <c r="D93" s="167"/>
      <c r="E93" s="167"/>
      <c r="F93" s="167"/>
      <c r="G93" s="166">
        <f si="23" t="shared"/>
      </c>
      <c r="H93" s="166">
        <f si="24" t="shared"/>
      </c>
      <c r="I93" s="166">
        <f si="25" t="shared"/>
      </c>
      <c r="J93" s="166">
        <f si="26" t="shared"/>
      </c>
      <c r="K93" s="166">
        <f si="26" t="shared"/>
      </c>
      <c r="L93" s="166">
        <f si="27" t="shared"/>
      </c>
      <c r="O93" s="127"/>
      <c r="P93" s="137"/>
      <c r="Q93" s="137"/>
      <c r="R93" s="137"/>
      <c r="S93" s="137"/>
      <c r="T93" s="137"/>
      <c r="U93" s="137"/>
    </row>
    <row hidden="1" outlineLevel="1" r="94" spans="1:21" x14ac:dyDescent="0.15">
      <c r="A94" s="166">
        <f si="21" t="shared"/>
      </c>
      <c r="B94" s="166"/>
      <c r="C94" s="235" t="str">
        <f si="22" t="shared"/>
      </c>
      <c r="D94" s="166"/>
      <c r="E94" s="166"/>
      <c r="F94" s="166"/>
      <c r="G94" s="166">
        <f si="23" t="shared"/>
      </c>
      <c r="H94" s="166">
        <f si="24" t="shared"/>
      </c>
      <c r="I94" s="166">
        <f si="25" t="shared"/>
      </c>
      <c r="J94" s="166">
        <f si="26" t="shared"/>
      </c>
      <c r="K94" s="166">
        <f si="26" t="shared"/>
      </c>
      <c r="L94" s="166">
        <f si="27" t="shared"/>
      </c>
      <c r="O94" s="127"/>
      <c r="P94" s="137"/>
      <c r="Q94" s="137"/>
      <c r="R94" s="137"/>
      <c r="S94" s="137"/>
      <c r="T94" s="137"/>
      <c r="U94" s="137"/>
    </row>
    <row hidden="1" outlineLevel="1" r="95" spans="1:21" x14ac:dyDescent="0.15">
      <c r="A95" s="166">
        <f si="21" t="shared"/>
      </c>
      <c r="B95" s="166"/>
      <c r="C95" s="235" t="str">
        <f si="22" t="shared"/>
      </c>
      <c r="D95" s="166"/>
      <c r="E95" s="166"/>
      <c r="F95" s="166"/>
      <c r="G95" s="166">
        <f si="23" t="shared"/>
      </c>
      <c r="H95" s="166">
        <f si="24" t="shared"/>
      </c>
      <c r="I95" s="166">
        <f si="25" t="shared"/>
      </c>
      <c r="J95" s="166">
        <f si="26" t="shared"/>
      </c>
      <c r="K95" s="166">
        <f si="26" t="shared"/>
      </c>
      <c r="L95" s="166">
        <f si="27" t="shared"/>
      </c>
      <c r="O95" s="127"/>
      <c r="P95" s="137"/>
      <c r="Q95" s="137"/>
      <c r="R95" s="137"/>
      <c r="S95" s="137"/>
      <c r="T95" s="137"/>
      <c r="U95" s="137"/>
    </row>
    <row hidden="1" outlineLevel="1" r="96" spans="1:21" x14ac:dyDescent="0.15">
      <c r="A96" s="166">
        <f si="21" t="shared"/>
      </c>
      <c r="B96" s="166"/>
      <c r="C96" s="235" t="str">
        <f si="22" t="shared"/>
      </c>
      <c r="D96" s="166"/>
      <c r="E96" s="166"/>
      <c r="F96" s="166"/>
      <c r="G96" s="166">
        <f si="23" t="shared"/>
      </c>
      <c r="H96" s="166">
        <f si="24" t="shared"/>
      </c>
      <c r="I96" s="166">
        <f si="25" t="shared"/>
      </c>
      <c r="J96" s="166">
        <f si="26" t="shared"/>
      </c>
      <c r="K96" s="166">
        <f si="26" t="shared"/>
      </c>
      <c r="L96" s="166">
        <f si="27" t="shared"/>
      </c>
      <c r="O96" s="127"/>
      <c r="P96" s="137"/>
      <c r="Q96" s="137"/>
      <c r="R96" s="137"/>
      <c r="S96" s="137"/>
      <c r="T96" s="137"/>
      <c r="U96" s="137"/>
    </row>
    <row hidden="1" outlineLevel="1" r="97" spans="1:21" x14ac:dyDescent="0.15">
      <c r="A97" s="166">
        <f si="21" t="shared"/>
      </c>
      <c r="B97" s="166"/>
      <c r="C97" s="235" t="str">
        <f si="22" t="shared"/>
      </c>
      <c r="D97" s="166"/>
      <c r="E97" s="166"/>
      <c r="F97" s="166"/>
      <c r="G97" s="166">
        <f si="23" t="shared"/>
      </c>
      <c r="H97" s="166">
        <f si="24" t="shared"/>
      </c>
      <c r="I97" s="166">
        <f si="25" t="shared"/>
      </c>
      <c r="J97" s="166">
        <f si="26" t="shared"/>
      </c>
      <c r="K97" s="166">
        <f si="26" t="shared"/>
      </c>
      <c r="L97" s="166">
        <f si="27" t="shared"/>
      </c>
      <c r="O97" s="127"/>
      <c r="P97" s="137"/>
      <c r="Q97" s="137"/>
      <c r="R97" s="137"/>
      <c r="S97" s="137"/>
      <c r="T97" s="137"/>
      <c r="U97" s="137"/>
    </row>
    <row hidden="1" outlineLevel="1" r="98" spans="1:21" x14ac:dyDescent="0.15">
      <c r="A98" s="166">
        <f si="21" t="shared"/>
      </c>
      <c r="B98" s="166"/>
      <c r="C98" s="235" t="str">
        <f si="22" t="shared"/>
      </c>
      <c r="D98" s="166"/>
      <c r="E98" s="166"/>
      <c r="F98" s="166"/>
      <c r="G98" s="166">
        <f si="23" t="shared"/>
      </c>
      <c r="H98" s="166">
        <f si="24" t="shared"/>
      </c>
      <c r="I98" s="166">
        <f si="25" t="shared"/>
      </c>
      <c r="J98" s="166">
        <f si="26" t="shared"/>
      </c>
      <c r="K98" s="166">
        <f si="26" t="shared"/>
      </c>
      <c r="L98" s="166">
        <f si="27" t="shared"/>
      </c>
      <c r="O98" s="127"/>
      <c r="P98" s="137"/>
      <c r="Q98" s="137"/>
      <c r="R98" s="137"/>
      <c r="S98" s="137"/>
      <c r="T98" s="137"/>
      <c r="U98" s="137"/>
    </row>
    <row hidden="1" outlineLevel="1" r="99" spans="1:21" x14ac:dyDescent="0.15">
      <c r="A99" s="166">
        <f si="21" t="shared"/>
      </c>
      <c r="B99" s="166"/>
      <c r="C99" s="235" t="str">
        <f si="22" t="shared"/>
      </c>
      <c r="D99" s="166"/>
      <c r="E99" s="166"/>
      <c r="F99" s="166"/>
      <c r="G99" s="166">
        <f si="23" t="shared"/>
      </c>
      <c r="H99" s="166">
        <f si="24" t="shared"/>
      </c>
      <c r="I99" s="166">
        <f si="25" t="shared"/>
      </c>
      <c r="J99" s="166">
        <f si="26" t="shared"/>
      </c>
      <c r="K99" s="166">
        <f si="26" t="shared"/>
      </c>
      <c r="L99" s="166">
        <f si="27" t="shared"/>
      </c>
      <c r="O99" s="127"/>
      <c r="P99" s="137"/>
      <c r="Q99" s="137"/>
      <c r="R99" s="137"/>
      <c r="S99" s="137"/>
      <c r="T99" s="137"/>
      <c r="U99" s="137"/>
    </row>
    <row hidden="1" outlineLevel="1" r="100" spans="1:21" x14ac:dyDescent="0.15">
      <c r="A100" s="166">
        <f si="21" t="shared"/>
      </c>
      <c r="B100" s="166"/>
      <c r="C100" s="235" t="str">
        <f si="22" t="shared"/>
      </c>
      <c r="D100" s="166"/>
      <c r="E100" s="166"/>
      <c r="F100" s="166"/>
      <c r="G100" s="166">
        <f si="23" t="shared"/>
      </c>
      <c r="H100" s="166">
        <f si="24" t="shared"/>
      </c>
      <c r="I100" s="166">
        <f si="25" t="shared"/>
      </c>
      <c r="J100" s="166">
        <f si="26" t="shared"/>
      </c>
      <c r="K100" s="166">
        <f si="26" t="shared"/>
      </c>
      <c r="L100" s="166">
        <f si="27" t="shared"/>
      </c>
      <c r="O100" s="127"/>
      <c r="P100" s="137"/>
      <c r="Q100" s="137"/>
      <c r="R100" s="137"/>
      <c r="S100" s="137"/>
      <c r="T100" s="137"/>
      <c r="U100" s="137"/>
    </row>
    <row hidden="1" outlineLevel="1" r="101" spans="1:21" x14ac:dyDescent="0.15">
      <c r="A101" s="166">
        <f si="21" t="shared"/>
      </c>
      <c r="B101" s="166"/>
      <c r="C101" s="235">
        <f si="21" t="shared"/>
      </c>
      <c r="D101" s="166"/>
      <c r="E101" s="166"/>
      <c r="F101" s="166"/>
      <c r="G101" s="166">
        <f ref="G101:G114" si="28" t="shared">IF(OR(H101&gt;=100,I101&gt;=100,J101&gt;=100),0,+H101+G65)</f>
      </c>
      <c r="H101" s="166">
        <f ref="H101:H114" si="29" t="shared">IF(OR(I101&gt;=100,J101&gt;=100),0,+I101+H65)</f>
      </c>
      <c r="I101" s="166">
        <f ref="I101:I116" si="30" t="shared">IF(J101&gt;=100,0,+J101+I65)</f>
      </c>
      <c r="J101" s="166">
        <f ref="J101:K116" si="31" t="shared">IF(K101&gt;100,0,+K101+J65)</f>
      </c>
      <c r="K101" s="166">
        <f si="31" t="shared"/>
      </c>
      <c r="L101" s="166">
        <f ref="L101:L116" si="32" t="shared">+L65</f>
      </c>
      <c r="O101" s="127"/>
      <c r="P101" s="137"/>
      <c r="Q101" s="137"/>
      <c r="R101" s="137"/>
      <c r="S101" s="137"/>
      <c r="T101" s="137"/>
      <c r="U101" s="137"/>
    </row>
    <row hidden="1" outlineLevel="1" r="102" spans="1:21" x14ac:dyDescent="0.15">
      <c r="A102" s="166">
        <f ref="A102:C116" si="33" t="shared">+A30</f>
      </c>
      <c r="B102" s="166"/>
      <c r="C102" s="235">
        <f si="33" t="shared"/>
      </c>
      <c r="D102" s="166"/>
      <c r="E102" s="166"/>
      <c r="F102" s="166"/>
      <c r="G102" s="166">
        <f si="28" t="shared"/>
      </c>
      <c r="H102" s="166">
        <f si="29" t="shared"/>
      </c>
      <c r="I102" s="166">
        <f si="30" t="shared"/>
      </c>
      <c r="J102" s="166">
        <f si="31" t="shared"/>
      </c>
      <c r="K102" s="166">
        <f si="31" t="shared"/>
      </c>
      <c r="L102" s="166">
        <f si="32" t="shared"/>
      </c>
      <c r="O102" s="127"/>
      <c r="P102" s="137"/>
      <c r="Q102" s="137"/>
      <c r="R102" s="137"/>
      <c r="S102" s="137"/>
      <c r="T102" s="137"/>
      <c r="U102" s="137"/>
    </row>
    <row hidden="1" outlineLevel="1" r="103" spans="1:21" x14ac:dyDescent="0.15">
      <c r="A103" s="166">
        <f si="33" t="shared"/>
      </c>
      <c r="B103" s="166"/>
      <c r="C103" s="235">
        <f si="33" t="shared"/>
      </c>
      <c r="D103" s="166"/>
      <c r="E103" s="166"/>
      <c r="F103" s="166"/>
      <c r="G103" s="166">
        <f si="28" t="shared"/>
      </c>
      <c r="H103" s="166">
        <f si="29" t="shared"/>
      </c>
      <c r="I103" s="166">
        <f si="30" t="shared"/>
      </c>
      <c r="J103" s="166">
        <f si="31" t="shared"/>
      </c>
      <c r="K103" s="166">
        <f si="31" t="shared"/>
      </c>
      <c r="L103" s="166">
        <f si="32" t="shared"/>
      </c>
      <c r="O103" s="127"/>
      <c r="P103" s="137"/>
      <c r="Q103" s="137"/>
      <c r="R103" s="137"/>
      <c r="S103" s="137"/>
      <c r="T103" s="137"/>
      <c r="U103" s="137"/>
    </row>
    <row hidden="1" outlineLevel="1" r="104" spans="1:21" x14ac:dyDescent="0.15">
      <c r="A104" s="166">
        <f si="33" t="shared"/>
      </c>
      <c r="B104" s="166"/>
      <c r="C104" s="235">
        <f si="33" t="shared"/>
      </c>
      <c r="D104" s="166"/>
      <c r="E104" s="166"/>
      <c r="F104" s="166"/>
      <c r="G104" s="166">
        <f si="28" t="shared"/>
      </c>
      <c r="H104" s="166">
        <f si="29" t="shared"/>
      </c>
      <c r="I104" s="166">
        <f si="30" t="shared"/>
      </c>
      <c r="J104" s="166">
        <f si="31" t="shared"/>
      </c>
      <c r="K104" s="166">
        <f si="31" t="shared"/>
      </c>
      <c r="L104" s="166">
        <f si="32" t="shared"/>
      </c>
      <c r="O104" s="127"/>
      <c r="P104" s="137"/>
      <c r="Q104" s="137"/>
      <c r="R104" s="137"/>
      <c r="S104" s="137"/>
      <c r="T104" s="137"/>
      <c r="U104" s="137"/>
    </row>
    <row hidden="1" outlineLevel="1" r="105" spans="1:21" x14ac:dyDescent="0.15">
      <c r="A105" s="166">
        <f si="33" t="shared"/>
      </c>
      <c r="B105" s="166"/>
      <c r="C105" s="235">
        <f si="33" t="shared"/>
      </c>
      <c r="D105" s="166"/>
      <c r="E105" s="166"/>
      <c r="F105" s="166"/>
      <c r="G105" s="166">
        <f si="28" t="shared"/>
      </c>
      <c r="H105" s="166">
        <f si="29" t="shared"/>
      </c>
      <c r="I105" s="166">
        <f si="30" t="shared"/>
      </c>
      <c r="J105" s="166">
        <f si="31" t="shared"/>
      </c>
      <c r="K105" s="166">
        <f si="31" t="shared"/>
      </c>
      <c r="L105" s="166">
        <f si="32" t="shared"/>
      </c>
      <c r="O105" s="127"/>
      <c r="P105" s="137"/>
      <c r="Q105" s="137"/>
      <c r="R105" s="137"/>
      <c r="S105" s="137"/>
      <c r="T105" s="137"/>
      <c r="U105" s="137"/>
    </row>
    <row hidden="1" outlineLevel="1" r="106" spans="1:21" x14ac:dyDescent="0.15">
      <c r="A106" s="166">
        <f si="33" t="shared"/>
      </c>
      <c r="B106" s="166"/>
      <c r="C106" s="235">
        <f si="33" t="shared"/>
      </c>
      <c r="D106" s="166"/>
      <c r="E106" s="166"/>
      <c r="F106" s="166"/>
      <c r="G106" s="166">
        <f si="28" t="shared"/>
      </c>
      <c r="H106" s="166">
        <f si="29" t="shared"/>
      </c>
      <c r="I106" s="166">
        <f si="30" t="shared"/>
      </c>
      <c r="J106" s="166">
        <f si="31" t="shared"/>
      </c>
      <c r="K106" s="166">
        <f si="31" t="shared"/>
      </c>
      <c r="L106" s="166">
        <f si="32" t="shared"/>
      </c>
      <c r="O106" s="127"/>
      <c r="P106" s="137"/>
      <c r="Q106" s="137"/>
      <c r="R106" s="137"/>
      <c r="S106" s="137"/>
      <c r="T106" s="137"/>
      <c r="U106" s="137"/>
    </row>
    <row hidden="1" outlineLevel="1" r="107" spans="1:21" x14ac:dyDescent="0.15">
      <c r="A107" s="166">
        <f si="33" t="shared"/>
      </c>
      <c r="B107" s="166"/>
      <c r="C107" s="235">
        <f si="33" t="shared"/>
      </c>
      <c r="D107" s="166"/>
      <c r="E107" s="166"/>
      <c r="F107" s="166"/>
      <c r="G107" s="166">
        <f si="28" t="shared"/>
      </c>
      <c r="H107" s="166">
        <f si="29" t="shared"/>
      </c>
      <c r="I107" s="166">
        <f si="30" t="shared"/>
      </c>
      <c r="J107" s="166">
        <f si="31" t="shared"/>
      </c>
      <c r="K107" s="166">
        <f si="31" t="shared"/>
      </c>
      <c r="L107" s="166">
        <f si="32" t="shared"/>
      </c>
      <c r="O107" s="127"/>
      <c r="P107" s="137"/>
      <c r="Q107" s="137"/>
      <c r="R107" s="137"/>
      <c r="S107" s="137"/>
      <c r="T107" s="137"/>
      <c r="U107" s="137"/>
    </row>
    <row hidden="1" outlineLevel="1" r="108" spans="1:21" x14ac:dyDescent="0.15">
      <c r="A108" s="166">
        <f si="33" t="shared"/>
      </c>
      <c r="B108" s="166"/>
      <c r="C108" s="235">
        <f si="33" t="shared"/>
      </c>
      <c r="D108" s="166"/>
      <c r="E108" s="166"/>
      <c r="F108" s="166"/>
      <c r="G108" s="166">
        <f si="28" t="shared"/>
      </c>
      <c r="H108" s="166">
        <f si="29" t="shared"/>
      </c>
      <c r="I108" s="166">
        <f si="30" t="shared"/>
      </c>
      <c r="J108" s="166">
        <f si="31" t="shared"/>
      </c>
      <c r="K108" s="166">
        <f si="31" t="shared"/>
      </c>
      <c r="L108" s="166">
        <f si="32" t="shared"/>
      </c>
      <c r="O108" s="127"/>
      <c r="P108" s="137"/>
      <c r="Q108" s="137"/>
      <c r="R108" s="137"/>
      <c r="S108" s="137"/>
      <c r="T108" s="137"/>
      <c r="U108" s="137"/>
    </row>
    <row hidden="1" outlineLevel="1" r="109" spans="1:21" x14ac:dyDescent="0.15">
      <c r="A109" s="166">
        <f si="33" t="shared"/>
      </c>
      <c r="B109" s="166"/>
      <c r="C109" s="235">
        <f si="33" t="shared"/>
      </c>
      <c r="D109" s="166"/>
      <c r="E109" s="166"/>
      <c r="F109" s="166"/>
      <c r="G109" s="166">
        <f si="28" t="shared"/>
      </c>
      <c r="H109" s="166">
        <f si="29" t="shared"/>
      </c>
      <c r="I109" s="166">
        <f si="30" t="shared"/>
      </c>
      <c r="J109" s="166">
        <f si="31" t="shared"/>
      </c>
      <c r="K109" s="166">
        <f si="31" t="shared"/>
      </c>
      <c r="L109" s="166">
        <f si="32" t="shared"/>
      </c>
      <c r="O109" s="127"/>
      <c r="P109" s="137"/>
      <c r="Q109" s="137"/>
      <c r="R109" s="137"/>
      <c r="S109" s="137"/>
      <c r="T109" s="137"/>
      <c r="U109" s="137"/>
    </row>
    <row hidden="1" outlineLevel="1" r="110" spans="1:21" x14ac:dyDescent="0.15">
      <c r="A110" s="166">
        <f si="33" t="shared"/>
      </c>
      <c r="B110" s="166"/>
      <c r="C110" s="235">
        <f si="33" t="shared"/>
      </c>
      <c r="D110" s="166"/>
      <c r="E110" s="166"/>
      <c r="F110" s="166"/>
      <c r="G110" s="166">
        <f si="28" t="shared"/>
      </c>
      <c r="H110" s="166">
        <f si="29" t="shared"/>
      </c>
      <c r="I110" s="166">
        <f si="30" t="shared"/>
      </c>
      <c r="J110" s="166">
        <f si="31" t="shared"/>
      </c>
      <c r="K110" s="166">
        <f si="31" t="shared"/>
      </c>
      <c r="L110" s="166">
        <f si="32" t="shared"/>
      </c>
      <c r="O110" s="127"/>
      <c r="P110" s="137"/>
      <c r="Q110" s="137"/>
      <c r="R110" s="137"/>
      <c r="S110" s="137"/>
      <c r="T110" s="137"/>
      <c r="U110" s="137"/>
    </row>
    <row hidden="1" outlineLevel="1" r="111" spans="1:21" x14ac:dyDescent="0.15">
      <c r="A111" s="166">
        <f si="33" t="shared"/>
      </c>
      <c r="B111" s="166"/>
      <c r="C111" s="235">
        <f si="33" t="shared"/>
      </c>
      <c r="D111" s="166"/>
      <c r="E111" s="166"/>
      <c r="F111" s="166"/>
      <c r="G111" s="166">
        <f si="28" t="shared"/>
      </c>
      <c r="H111" s="166">
        <f si="29" t="shared"/>
      </c>
      <c r="I111" s="166">
        <f si="30" t="shared"/>
      </c>
      <c r="J111" s="166">
        <f si="31" t="shared"/>
      </c>
      <c r="K111" s="166">
        <f si="31" t="shared"/>
      </c>
      <c r="L111" s="166">
        <f si="32" t="shared"/>
      </c>
      <c r="O111" s="127"/>
      <c r="P111" s="137"/>
      <c r="Q111" s="137"/>
      <c r="R111" s="137"/>
      <c r="S111" s="137"/>
      <c r="T111" s="137"/>
      <c r="U111" s="137"/>
    </row>
    <row hidden="1" outlineLevel="1" r="112" spans="1:21" x14ac:dyDescent="0.15">
      <c r="A112" s="166">
        <f si="33" t="shared"/>
      </c>
      <c r="B112" s="166"/>
      <c r="C112" s="235">
        <f si="33" t="shared"/>
      </c>
      <c r="D112" s="166"/>
      <c r="E112" s="166"/>
      <c r="F112" s="166"/>
      <c r="G112" s="166">
        <f si="28" t="shared"/>
      </c>
      <c r="H112" s="166">
        <f si="29" t="shared"/>
      </c>
      <c r="I112" s="166">
        <f si="30" t="shared"/>
      </c>
      <c r="J112" s="166">
        <f si="31" t="shared"/>
      </c>
      <c r="K112" s="166">
        <f si="31" t="shared"/>
      </c>
      <c r="L112" s="166">
        <f si="32" t="shared"/>
      </c>
      <c r="O112" s="127"/>
      <c r="P112" s="137"/>
      <c r="Q112" s="137"/>
      <c r="R112" s="137"/>
      <c r="S112" s="137"/>
      <c r="T112" s="137"/>
      <c r="U112" s="137"/>
    </row>
    <row hidden="1" outlineLevel="1" r="113" spans="1:21" x14ac:dyDescent="0.15">
      <c r="A113" s="166">
        <f si="33" t="shared"/>
      </c>
      <c r="B113" s="166"/>
      <c r="C113" s="235">
        <f si="33" t="shared"/>
      </c>
      <c r="D113" s="166"/>
      <c r="E113" s="166"/>
      <c r="F113" s="166"/>
      <c r="G113" s="166">
        <f si="28" t="shared"/>
      </c>
      <c r="H113" s="166">
        <f si="29" t="shared"/>
      </c>
      <c r="I113" s="166">
        <f si="30" t="shared"/>
      </c>
      <c r="J113" s="166">
        <f si="31" t="shared"/>
      </c>
      <c r="K113" s="166">
        <f si="31" t="shared"/>
      </c>
      <c r="L113" s="166">
        <f si="32" t="shared"/>
      </c>
      <c r="O113" s="127"/>
      <c r="P113" s="137"/>
      <c r="Q113" s="137"/>
      <c r="R113" s="137"/>
      <c r="S113" s="137"/>
      <c r="T113" s="137"/>
      <c r="U113" s="137"/>
    </row>
    <row hidden="1" outlineLevel="1" r="114" spans="1:21" x14ac:dyDescent="0.15">
      <c r="A114" s="166">
        <f si="33" t="shared"/>
      </c>
      <c r="B114" s="166"/>
      <c r="C114" s="235">
        <f si="33" t="shared"/>
      </c>
      <c r="D114" s="166"/>
      <c r="E114" s="166"/>
      <c r="F114" s="166"/>
      <c r="G114" s="166">
        <f si="28" t="shared"/>
      </c>
      <c r="H114" s="166">
        <f si="29" t="shared"/>
      </c>
      <c r="I114" s="166">
        <f si="30" t="shared"/>
      </c>
      <c r="J114" s="166">
        <f si="31" t="shared"/>
      </c>
      <c r="K114" s="166">
        <f si="31" t="shared"/>
      </c>
      <c r="L114" s="166">
        <f si="32" t="shared"/>
      </c>
      <c r="O114" s="127"/>
      <c r="P114" s="137"/>
      <c r="Q114" s="137"/>
      <c r="R114" s="137"/>
      <c r="S114" s="137"/>
      <c r="T114" s="137"/>
      <c r="U114" s="137"/>
    </row>
    <row hidden="1" outlineLevel="1" r="115" spans="1:21" x14ac:dyDescent="0.15">
      <c r="A115" s="166">
        <f si="33" t="shared"/>
      </c>
      <c r="B115" s="166"/>
      <c r="C115" s="235">
        <f si="33" t="shared"/>
      </c>
      <c r="D115" s="166"/>
      <c r="E115" s="166"/>
      <c r="F115" s="166"/>
      <c r="G115" s="166">
        <f>IF(OR(H115&gt;=100,I115&gt;=100,J115&gt;=100),0,+H115+G79)</f>
      </c>
      <c r="H115" s="166">
        <f>IF(OR(I115&gt;=100,J115&gt;=100),0,+I115+H79)</f>
      </c>
      <c r="I115" s="166">
        <f si="30" t="shared"/>
      </c>
      <c r="J115" s="166">
        <f si="31" t="shared"/>
      </c>
      <c r="K115" s="166">
        <f si="31" t="shared"/>
      </c>
      <c r="L115" s="166">
        <f si="32" t="shared"/>
      </c>
      <c r="O115" s="127"/>
      <c r="P115" s="137"/>
      <c r="Q115" s="137"/>
      <c r="R115" s="137"/>
      <c r="S115" s="137"/>
      <c r="T115" s="137"/>
      <c r="U115" s="137"/>
    </row>
    <row hidden="1" outlineLevel="1" r="116" spans="1:21" x14ac:dyDescent="0.15">
      <c r="A116" s="166">
        <f si="33" t="shared"/>
      </c>
      <c r="B116" s="166"/>
      <c r="C116" s="235">
        <f si="33" t="shared"/>
      </c>
      <c r="D116" s="166"/>
      <c r="E116" s="166"/>
      <c r="F116" s="166"/>
      <c r="G116" s="166">
        <f>IF(OR(H116&gt;=100,I116&gt;=100,J116&gt;=100),0,+H116+G80)</f>
      </c>
      <c r="H116" s="166">
        <f>IF(OR(I116&gt;=100,J116&gt;=100),0,+I116+H80)</f>
      </c>
      <c r="I116" s="166">
        <f si="30" t="shared"/>
      </c>
      <c r="J116" s="166">
        <f si="31" t="shared"/>
      </c>
      <c r="K116" s="166">
        <f si="31" t="shared"/>
      </c>
      <c r="L116" s="166">
        <f si="32" t="shared"/>
      </c>
      <c r="O116" s="127"/>
      <c r="P116" s="137"/>
      <c r="Q116" s="137"/>
      <c r="R116" s="137"/>
      <c r="S116" s="137"/>
      <c r="T116" s="137"/>
      <c r="U116" s="137"/>
    </row>
    <row hidden="1" outlineLevel="1" r="117" spans="1:21" x14ac:dyDescent="0.15">
      <c r="A117" s="231"/>
      <c r="B117" s="231"/>
      <c r="C117" s="236"/>
      <c r="D117" s="233"/>
      <c r="E117" s="233"/>
      <c r="F117" s="233"/>
      <c r="G117" s="233"/>
      <c r="H117" s="233"/>
      <c r="I117" s="233"/>
      <c r="J117" s="233"/>
      <c r="K117" s="233"/>
      <c r="L117" s="233"/>
    </row>
    <row hidden="1" outlineLevel="1" r="118" spans="1:21" x14ac:dyDescent="0.15">
      <c r="A118" s="135"/>
      <c r="B118" s="135"/>
      <c r="C118" s="136"/>
      <c r="D118" s="137"/>
      <c r="E118" s="137"/>
      <c r="F118" s="137"/>
      <c r="G118" s="137"/>
      <c r="H118" s="137"/>
      <c r="I118" s="137"/>
      <c r="J118" s="137"/>
      <c r="K118" s="137"/>
      <c r="L118" s="137"/>
      <c r="M118" s="136"/>
      <c r="N118" s="136"/>
    </row>
    <row hidden="1" outlineLevel="1" r="119" spans="1:21" x14ac:dyDescent="0.2">
      <c r="A119" s="168" t="s">
        <v>451</v>
      </c>
      <c r="B119" s="478"/>
      <c r="C119" s="132" t="s">
        <v>452</v>
      </c>
      <c r="D119" s="132"/>
      <c r="E119" s="132"/>
      <c r="F119" s="132"/>
      <c r="G119" s="133"/>
      <c r="H119" s="133"/>
      <c r="I119" s="133"/>
      <c r="J119" s="133"/>
      <c r="K119" s="133"/>
      <c r="L119" s="127"/>
    </row>
    <row hidden="1" outlineLevel="1" r="120" spans="1:21" x14ac:dyDescent="0.25">
      <c r="A120" s="695" t="s">
        <v>424</v>
      </c>
      <c r="B120" s="444"/>
      <c r="C120" s="695" t="s">
        <v>426</v>
      </c>
      <c r="D120" s="692"/>
      <c r="E120" s="692"/>
      <c r="F120" s="162"/>
      <c r="G120" s="694" t="s">
        <v>447</v>
      </c>
      <c r="H120" s="694"/>
      <c r="I120" s="694"/>
      <c r="J120" s="694"/>
      <c r="K120" s="694"/>
      <c r="L120" s="694"/>
      <c r="M120" s="145"/>
    </row>
    <row hidden="1" outlineLevel="1" r="121" spans="1:21" x14ac:dyDescent="0.25">
      <c r="A121" s="695"/>
      <c r="B121" s="444"/>
      <c r="C121" s="695"/>
      <c r="D121" s="693"/>
      <c r="E121" s="693"/>
      <c r="F121" s="163"/>
      <c r="G121" s="253">
        <v>0</v>
      </c>
      <c r="H121" s="253">
        <v>1</v>
      </c>
      <c r="I121" s="253">
        <v>2</v>
      </c>
      <c r="J121" s="253">
        <v>3</v>
      </c>
      <c r="K121" s="253">
        <v>4</v>
      </c>
      <c r="L121" s="253">
        <v>5</v>
      </c>
      <c r="M121" s="145"/>
      <c r="O121" s="126" t="s">
        <v>453</v>
      </c>
      <c r="P121" s="125">
        <v>0</v>
      </c>
      <c r="Q121" s="125">
        <v>1</v>
      </c>
      <c r="R121" s="125">
        <v>2</v>
      </c>
      <c r="S121" s="125">
        <v>3</v>
      </c>
      <c r="T121" s="125">
        <v>4</v>
      </c>
      <c r="U121" s="125">
        <v>5</v>
      </c>
    </row>
    <row hidden="1" outlineLevel="1" r="122" spans="1:21" x14ac:dyDescent="0.15">
      <c r="A122" s="228">
        <f ref="A122:C151" si="34" t="shared">+A87</f>
      </c>
      <c r="B122" s="228"/>
      <c r="C122" s="234" t="str">
        <f si="34" t="shared"/>
      </c>
      <c r="D122" s="228"/>
      <c r="E122" s="228"/>
      <c r="F122" s="228"/>
      <c r="G122" s="228">
        <f ref="G122:K135" si="35" t="shared">+IF(P122&gt;0,P122,0)</f>
      </c>
      <c r="H122" s="228">
        <f si="35" t="shared"/>
      </c>
      <c r="I122" s="228">
        <f si="35" t="shared"/>
      </c>
      <c r="J122" s="228">
        <f si="35" t="shared"/>
      </c>
      <c r="K122" s="228">
        <f>+IF(T122&gt;0,T122,0)</f>
      </c>
      <c r="L122" s="228">
        <f ref="L122:L135" si="36" t="shared">+L87</f>
      </c>
      <c r="M122" s="145"/>
      <c r="N122" s="146"/>
      <c r="O122" s="127">
        <f>+SUM(G122:L122)</f>
      </c>
      <c r="P122" s="129">
        <f ref="P122:P135" si="37" t="shared">IF(G87+H87+I87+J87+K87+L87&gt;=100,100-H87-I87-J87-K87-L87,G87)</f>
      </c>
      <c r="Q122" s="129">
        <f ref="Q122:Q135" si="38" t="shared">IF(H87+I87+J87+K87+L87&gt;=100,100-I87-J87-K87-L87,H87)</f>
      </c>
      <c r="R122" s="129">
        <f ref="R122:R135" si="39" t="shared">IF(I87+J87+K87+L87&gt;=100,100-J87-K87-L87,I87)</f>
      </c>
      <c r="S122" s="129">
        <f ref="S122:S135" si="40" t="shared">IF(J87+K87+L87&gt;=100,100-K87-L87,J87)</f>
      </c>
      <c r="T122" s="129">
        <f ref="T122:T135" si="41" t="shared">+IF(K87+L87&gt;100,100-L87,K87)</f>
      </c>
      <c r="U122" s="129">
        <f ref="U122:U135" si="42" t="shared">+L87</f>
      </c>
    </row>
    <row hidden="1" outlineLevel="1" r="123" spans="1:21" x14ac:dyDescent="0.15">
      <c r="A123" s="166">
        <f si="34" t="shared"/>
      </c>
      <c r="B123" s="166"/>
      <c r="C123" s="235" t="str">
        <f si="34" t="shared"/>
      </c>
      <c r="D123" s="166"/>
      <c r="E123" s="166"/>
      <c r="F123" s="166"/>
      <c r="G123" s="166">
        <f si="35" t="shared"/>
      </c>
      <c r="H123" s="166">
        <f si="35" t="shared"/>
      </c>
      <c r="I123" s="166">
        <f si="35" t="shared"/>
      </c>
      <c r="J123" s="166">
        <f si="35" t="shared"/>
      </c>
      <c r="K123" s="166">
        <f si="35" t="shared"/>
      </c>
      <c r="L123" s="166">
        <f si="36" t="shared"/>
      </c>
      <c r="M123" s="145"/>
      <c r="N123" s="146"/>
      <c r="O123" s="127">
        <f ref="O123:O135" si="43" t="shared">+SUM(G123:L123)</f>
      </c>
      <c r="P123" s="129">
        <f si="37" t="shared"/>
      </c>
      <c r="Q123" s="129">
        <f si="38" t="shared"/>
      </c>
      <c r="R123" s="129">
        <f si="39" t="shared"/>
      </c>
      <c r="S123" s="129">
        <f si="40" t="shared"/>
      </c>
      <c r="T123" s="129">
        <f si="41" t="shared"/>
      </c>
      <c r="U123" s="129">
        <f si="42" t="shared"/>
      </c>
    </row>
    <row hidden="1" outlineLevel="1" r="124" spans="1:21" x14ac:dyDescent="0.15">
      <c r="A124" s="166">
        <f si="34" t="shared"/>
      </c>
      <c r="B124" s="166"/>
      <c r="C124" s="235" t="str">
        <f si="34" t="shared"/>
      </c>
      <c r="D124" s="166"/>
      <c r="E124" s="166"/>
      <c r="F124" s="166"/>
      <c r="G124" s="166">
        <f si="35" t="shared"/>
      </c>
      <c r="H124" s="166">
        <f si="35" t="shared"/>
      </c>
      <c r="I124" s="166">
        <f si="35" t="shared"/>
      </c>
      <c r="J124" s="166">
        <f si="35" t="shared"/>
      </c>
      <c r="K124" s="166">
        <f si="35" t="shared"/>
      </c>
      <c r="L124" s="166">
        <f si="36" t="shared"/>
      </c>
      <c r="M124" s="145"/>
      <c r="N124" s="146"/>
      <c r="O124" s="127">
        <f si="43" t="shared"/>
      </c>
      <c r="P124" s="129">
        <f si="37" t="shared"/>
      </c>
      <c r="Q124" s="129">
        <f si="38" t="shared"/>
      </c>
      <c r="R124" s="129">
        <f si="39" t="shared"/>
      </c>
      <c r="S124" s="129">
        <f si="40" t="shared"/>
      </c>
      <c r="T124" s="129">
        <f si="41" t="shared"/>
      </c>
      <c r="U124" s="129">
        <f si="42" t="shared"/>
      </c>
    </row>
    <row hidden="1" outlineLevel="1" r="125" spans="1:21" x14ac:dyDescent="0.15">
      <c r="A125" s="166">
        <f si="34" t="shared"/>
      </c>
      <c r="B125" s="166"/>
      <c r="C125" s="235" t="str">
        <f si="34" t="shared"/>
      </c>
      <c r="D125" s="166"/>
      <c r="E125" s="166"/>
      <c r="F125" s="166"/>
      <c r="G125" s="166">
        <f si="35" t="shared"/>
      </c>
      <c r="H125" s="166">
        <f si="35" t="shared"/>
      </c>
      <c r="I125" s="166">
        <f si="35" t="shared"/>
      </c>
      <c r="J125" s="166">
        <f si="35" t="shared"/>
      </c>
      <c r="K125" s="166">
        <f si="35" t="shared"/>
      </c>
      <c r="L125" s="166">
        <f si="36" t="shared"/>
      </c>
      <c r="M125" s="145"/>
      <c r="N125" s="146"/>
      <c r="O125" s="127">
        <f>+SUM(G125:L125)</f>
      </c>
      <c r="P125" s="129">
        <f si="37" t="shared"/>
      </c>
      <c r="Q125" s="129">
        <f si="38" t="shared"/>
      </c>
      <c r="R125" s="129">
        <f si="39" t="shared"/>
      </c>
      <c r="S125" s="129">
        <f si="40" t="shared"/>
      </c>
      <c r="T125" s="129">
        <f si="41" t="shared"/>
      </c>
      <c r="U125" s="129">
        <f si="42" t="shared"/>
      </c>
    </row>
    <row hidden="1" outlineLevel="1" r="126" spans="1:21" x14ac:dyDescent="0.15">
      <c r="A126" s="166">
        <f si="34" t="shared"/>
      </c>
      <c r="B126" s="166"/>
      <c r="C126" s="235" t="str">
        <f si="34" t="shared"/>
      </c>
      <c r="D126" s="166"/>
      <c r="E126" s="166"/>
      <c r="F126" s="166"/>
      <c r="G126" s="166">
        <f si="35" t="shared"/>
      </c>
      <c r="H126" s="166">
        <f si="35" t="shared"/>
      </c>
      <c r="I126" s="166">
        <f si="35" t="shared"/>
      </c>
      <c r="J126" s="166">
        <f si="35" t="shared"/>
      </c>
      <c r="K126" s="166">
        <f si="35" t="shared"/>
      </c>
      <c r="L126" s="166">
        <f si="36" t="shared"/>
      </c>
      <c r="M126" s="145"/>
      <c r="N126" s="146"/>
      <c r="O126" s="127">
        <f>+SUM(G126:L126)</f>
      </c>
      <c r="P126" s="129">
        <f si="37" t="shared"/>
      </c>
      <c r="Q126" s="129">
        <f si="38" t="shared"/>
      </c>
      <c r="R126" s="129">
        <f si="39" t="shared"/>
      </c>
      <c r="S126" s="129">
        <f si="40" t="shared"/>
      </c>
      <c r="T126" s="129">
        <f si="41" t="shared"/>
      </c>
      <c r="U126" s="129">
        <f si="42" t="shared"/>
      </c>
    </row>
    <row hidden="1" outlineLevel="1" r="127" spans="1:21" x14ac:dyDescent="0.15">
      <c r="A127" s="166">
        <f si="34" t="shared"/>
      </c>
      <c r="B127" s="166"/>
      <c r="C127" s="235" t="str">
        <f si="34" t="shared"/>
      </c>
      <c r="D127" s="166"/>
      <c r="E127" s="166"/>
      <c r="F127" s="166"/>
      <c r="G127" s="166">
        <f si="35" t="shared"/>
      </c>
      <c r="H127" s="166">
        <f si="35" t="shared"/>
      </c>
      <c r="I127" s="166">
        <f si="35" t="shared"/>
      </c>
      <c r="J127" s="166">
        <f si="35" t="shared"/>
      </c>
      <c r="K127" s="166">
        <f si="35" t="shared"/>
      </c>
      <c r="L127" s="166">
        <f si="36" t="shared"/>
      </c>
      <c r="M127" s="145"/>
      <c r="N127" s="146"/>
      <c r="O127" s="127">
        <f si="43" t="shared"/>
      </c>
      <c r="P127" s="129">
        <f si="37" t="shared"/>
      </c>
      <c r="Q127" s="129">
        <f si="38" t="shared"/>
      </c>
      <c r="R127" s="129">
        <f si="39" t="shared"/>
      </c>
      <c r="S127" s="129">
        <f si="40" t="shared"/>
      </c>
      <c r="T127" s="129">
        <f si="41" t="shared"/>
      </c>
      <c r="U127" s="129">
        <f si="42" t="shared"/>
      </c>
    </row>
    <row hidden="1" outlineLevel="1" r="128" spans="1:21" x14ac:dyDescent="0.15">
      <c r="A128" s="166">
        <f si="34" t="shared"/>
      </c>
      <c r="B128" s="166"/>
      <c r="C128" s="235" t="str">
        <f si="34" t="shared"/>
      </c>
      <c r="D128" s="167"/>
      <c r="E128" s="167"/>
      <c r="F128" s="167"/>
      <c r="G128" s="166">
        <f si="35" t="shared"/>
      </c>
      <c r="H128" s="166">
        <f si="35" t="shared"/>
      </c>
      <c r="I128" s="166">
        <f si="35" t="shared"/>
      </c>
      <c r="J128" s="166">
        <f si="35" t="shared"/>
      </c>
      <c r="K128" s="166">
        <f si="35" t="shared"/>
      </c>
      <c r="L128" s="166">
        <f si="36" t="shared"/>
      </c>
      <c r="M128" s="145"/>
      <c r="N128" s="148"/>
      <c r="O128" s="127">
        <f si="43" t="shared"/>
      </c>
      <c r="P128" s="129">
        <f si="37" t="shared"/>
      </c>
      <c r="Q128" s="129">
        <f si="38" t="shared"/>
      </c>
      <c r="R128" s="129">
        <f si="39" t="shared"/>
      </c>
      <c r="S128" s="129">
        <f si="40" t="shared"/>
      </c>
      <c r="T128" s="129">
        <f si="41" t="shared"/>
      </c>
      <c r="U128" s="129">
        <f si="42" t="shared"/>
      </c>
    </row>
    <row hidden="1" outlineLevel="1" r="129" spans="1:21" x14ac:dyDescent="0.15">
      <c r="A129" s="166">
        <f si="34" t="shared"/>
      </c>
      <c r="B129" s="166"/>
      <c r="C129" s="235" t="str">
        <f si="34" t="shared"/>
      </c>
      <c r="D129" s="166"/>
      <c r="E129" s="166"/>
      <c r="F129" s="166"/>
      <c r="G129" s="166">
        <f si="35" t="shared"/>
      </c>
      <c r="H129" s="166">
        <f si="35" t="shared"/>
      </c>
      <c r="I129" s="166">
        <f si="35" t="shared"/>
      </c>
      <c r="J129" s="166">
        <f si="35" t="shared"/>
      </c>
      <c r="K129" s="166">
        <f si="35" t="shared"/>
      </c>
      <c r="L129" s="166">
        <f si="36" t="shared"/>
      </c>
      <c r="M129" s="145"/>
      <c r="N129" s="146"/>
      <c r="O129" s="127">
        <f si="43" t="shared"/>
      </c>
      <c r="P129" s="129">
        <f si="37" t="shared"/>
      </c>
      <c r="Q129" s="129">
        <f si="38" t="shared"/>
      </c>
      <c r="R129" s="129">
        <f si="39" t="shared"/>
      </c>
      <c r="S129" s="129">
        <f si="40" t="shared"/>
      </c>
      <c r="T129" s="129">
        <f si="41" t="shared"/>
      </c>
      <c r="U129" s="129">
        <f si="42" t="shared"/>
      </c>
    </row>
    <row hidden="1" outlineLevel="1" r="130" spans="1:21" x14ac:dyDescent="0.15">
      <c r="A130" s="166">
        <f si="34" t="shared"/>
      </c>
      <c r="B130" s="166"/>
      <c r="C130" s="235" t="str">
        <f si="34" t="shared"/>
      </c>
      <c r="D130" s="166"/>
      <c r="E130" s="166"/>
      <c r="F130" s="166"/>
      <c r="G130" s="166">
        <f si="35" t="shared"/>
      </c>
      <c r="H130" s="166">
        <f si="35" t="shared"/>
      </c>
      <c r="I130" s="166">
        <f si="35" t="shared"/>
      </c>
      <c r="J130" s="166">
        <f si="35" t="shared"/>
      </c>
      <c r="K130" s="166">
        <f si="35" t="shared"/>
      </c>
      <c r="L130" s="166">
        <f si="36" t="shared"/>
      </c>
      <c r="M130" s="145"/>
      <c r="N130" s="146"/>
      <c r="O130" s="127">
        <f si="43" t="shared"/>
      </c>
      <c r="P130" s="129">
        <f si="37" t="shared"/>
      </c>
      <c r="Q130" s="129">
        <f si="38" t="shared"/>
      </c>
      <c r="R130" s="129">
        <f si="39" t="shared"/>
      </c>
      <c r="S130" s="129">
        <f si="40" t="shared"/>
      </c>
      <c r="T130" s="129">
        <f si="41" t="shared"/>
      </c>
      <c r="U130" s="129">
        <f si="42" t="shared"/>
      </c>
    </row>
    <row hidden="1" outlineLevel="1" r="131" spans="1:21" x14ac:dyDescent="0.15">
      <c r="A131" s="166">
        <f si="34" t="shared"/>
      </c>
      <c r="B131" s="166"/>
      <c r="C131" s="235" t="str">
        <f si="34" t="shared"/>
      </c>
      <c r="D131" s="166"/>
      <c r="E131" s="166"/>
      <c r="F131" s="166"/>
      <c r="G131" s="166">
        <f si="35" t="shared"/>
      </c>
      <c r="H131" s="166">
        <f si="35" t="shared"/>
      </c>
      <c r="I131" s="166">
        <f si="35" t="shared"/>
      </c>
      <c r="J131" s="166">
        <f si="35" t="shared"/>
      </c>
      <c r="K131" s="166">
        <f si="35" t="shared"/>
      </c>
      <c r="L131" s="166">
        <f si="36" t="shared"/>
      </c>
      <c r="M131" s="145"/>
      <c r="N131" s="146"/>
      <c r="O131" s="127">
        <f si="43" t="shared"/>
      </c>
      <c r="P131" s="129">
        <f si="37" t="shared"/>
      </c>
      <c r="Q131" s="129">
        <f si="38" t="shared"/>
      </c>
      <c r="R131" s="129">
        <f si="39" t="shared"/>
      </c>
      <c r="S131" s="129">
        <f si="40" t="shared"/>
      </c>
      <c r="T131" s="129">
        <f si="41" t="shared"/>
      </c>
      <c r="U131" s="129">
        <f si="42" t="shared"/>
      </c>
    </row>
    <row hidden="1" outlineLevel="1" r="132" spans="1:21" x14ac:dyDescent="0.15">
      <c r="A132" s="166">
        <f si="34" t="shared"/>
      </c>
      <c r="B132" s="166"/>
      <c r="C132" s="235" t="str">
        <f si="34" t="shared"/>
      </c>
      <c r="D132" s="166"/>
      <c r="E132" s="166"/>
      <c r="F132" s="166"/>
      <c r="G132" s="166">
        <f si="35" t="shared"/>
      </c>
      <c r="H132" s="166">
        <f si="35" t="shared"/>
      </c>
      <c r="I132" s="166">
        <f si="35" t="shared"/>
      </c>
      <c r="J132" s="166">
        <f si="35" t="shared"/>
      </c>
      <c r="K132" s="166">
        <f si="35" t="shared"/>
      </c>
      <c r="L132" s="166">
        <f si="36" t="shared"/>
      </c>
      <c r="M132" s="145"/>
      <c r="N132" s="146"/>
      <c r="O132" s="127">
        <f si="43" t="shared"/>
      </c>
      <c r="P132" s="129">
        <f si="37" t="shared"/>
      </c>
      <c r="Q132" s="129">
        <f si="38" t="shared"/>
      </c>
      <c r="R132" s="129">
        <f si="39" t="shared"/>
      </c>
      <c r="S132" s="129">
        <f si="40" t="shared"/>
      </c>
      <c r="T132" s="129">
        <f si="41" t="shared"/>
      </c>
      <c r="U132" s="129">
        <f si="42" t="shared"/>
      </c>
    </row>
    <row hidden="1" outlineLevel="1" r="133" spans="1:21" x14ac:dyDescent="0.15">
      <c r="A133" s="166">
        <f si="34" t="shared"/>
      </c>
      <c r="B133" s="166"/>
      <c r="C133" s="235" t="str">
        <f si="34" t="shared"/>
      </c>
      <c r="D133" s="166"/>
      <c r="E133" s="166"/>
      <c r="F133" s="166"/>
      <c r="G133" s="166">
        <f si="35" t="shared"/>
      </c>
      <c r="H133" s="166">
        <f si="35" t="shared"/>
      </c>
      <c r="I133" s="166">
        <f si="35" t="shared"/>
      </c>
      <c r="J133" s="166">
        <f si="35" t="shared"/>
      </c>
      <c r="K133" s="166">
        <f si="35" t="shared"/>
      </c>
      <c r="L133" s="166">
        <f si="36" t="shared"/>
      </c>
      <c r="M133" s="145"/>
      <c r="N133" s="146"/>
      <c r="O133" s="127">
        <f>+SUM(G133:L133)</f>
      </c>
      <c r="P133" s="129">
        <f si="37" t="shared"/>
      </c>
      <c r="Q133" s="129">
        <f si="38" t="shared"/>
      </c>
      <c r="R133" s="129">
        <f si="39" t="shared"/>
      </c>
      <c r="S133" s="129">
        <f si="40" t="shared"/>
      </c>
      <c r="T133" s="129">
        <f si="41" t="shared"/>
      </c>
      <c r="U133" s="129">
        <f si="42" t="shared"/>
      </c>
    </row>
    <row hidden="1" outlineLevel="1" r="134" spans="1:21" x14ac:dyDescent="0.15">
      <c r="A134" s="166">
        <f si="34" t="shared"/>
      </c>
      <c r="B134" s="166"/>
      <c r="C134" s="235" t="str">
        <f si="34" t="shared"/>
      </c>
      <c r="D134" s="166"/>
      <c r="E134" s="166"/>
      <c r="F134" s="166"/>
      <c r="G134" s="166">
        <f si="35" t="shared"/>
      </c>
      <c r="H134" s="166">
        <f si="35" t="shared"/>
      </c>
      <c r="I134" s="166">
        <f si="35" t="shared"/>
      </c>
      <c r="J134" s="166">
        <f si="35" t="shared"/>
      </c>
      <c r="K134" s="166">
        <f si="35" t="shared"/>
      </c>
      <c r="L134" s="166">
        <f si="36" t="shared"/>
      </c>
      <c r="M134" s="145"/>
      <c r="N134" s="146"/>
      <c r="O134" s="127">
        <f si="43" t="shared"/>
      </c>
      <c r="P134" s="129">
        <f si="37" t="shared"/>
      </c>
      <c r="Q134" s="129">
        <f si="38" t="shared"/>
      </c>
      <c r="R134" s="129">
        <f si="39" t="shared"/>
      </c>
      <c r="S134" s="129">
        <f si="40" t="shared"/>
      </c>
      <c r="T134" s="129">
        <f si="41" t="shared"/>
      </c>
      <c r="U134" s="129">
        <f si="42" t="shared"/>
      </c>
    </row>
    <row hidden="1" outlineLevel="1" r="135" spans="1:21" x14ac:dyDescent="0.15">
      <c r="A135" s="166">
        <f si="34" t="shared"/>
      </c>
      <c r="B135" s="166"/>
      <c r="C135" s="235" t="str">
        <f si="34" t="shared"/>
      </c>
      <c r="D135" s="166"/>
      <c r="E135" s="166"/>
      <c r="F135" s="166"/>
      <c r="G135" s="166">
        <f si="35" t="shared"/>
      </c>
      <c r="H135" s="166">
        <f si="35" t="shared"/>
      </c>
      <c r="I135" s="166">
        <f si="35" t="shared"/>
      </c>
      <c r="J135" s="166">
        <f si="35" t="shared"/>
      </c>
      <c r="K135" s="166">
        <f si="35" t="shared"/>
      </c>
      <c r="L135" s="166">
        <f si="36" t="shared"/>
      </c>
      <c r="M135" s="145"/>
      <c r="N135" s="146"/>
      <c r="O135" s="127">
        <f si="43" t="shared"/>
      </c>
      <c r="P135" s="129">
        <f si="37" t="shared"/>
      </c>
      <c r="Q135" s="129">
        <f si="38" t="shared"/>
      </c>
      <c r="R135" s="129">
        <f si="39" t="shared"/>
      </c>
      <c r="S135" s="129">
        <f si="40" t="shared"/>
      </c>
      <c r="T135" s="129">
        <f si="41" t="shared"/>
      </c>
      <c r="U135" s="129">
        <f si="42" t="shared"/>
      </c>
    </row>
    <row hidden="1" outlineLevel="1" r="136" spans="1:21" x14ac:dyDescent="0.15">
      <c r="A136" s="166">
        <f si="34" t="shared"/>
      </c>
      <c r="B136" s="166"/>
      <c r="C136" s="235">
        <f si="34" t="shared"/>
      </c>
      <c r="D136" s="166"/>
      <c r="E136" s="166"/>
      <c r="F136" s="166"/>
      <c r="G136" s="166">
        <f ref="G136:G151" si="44" t="shared">+IF(P136&gt;0,P136,0)</f>
      </c>
      <c r="H136" s="166">
        <f ref="H136:H151" si="45" t="shared">+IF(Q136&gt;0,Q136,0)</f>
      </c>
      <c r="I136" s="166">
        <f ref="I136:I151" si="46" t="shared">+IF(R136&gt;0,R136,0)</f>
      </c>
      <c r="J136" s="166">
        <f ref="J136:J151" si="47" t="shared">+IF(S136&gt;0,S136,0)</f>
      </c>
      <c r="K136" s="166">
        <f ref="K136:K151" si="48" t="shared">+IF(T136&gt;0,T136,0)</f>
      </c>
      <c r="L136" s="166">
        <f ref="L136:L151" si="49" t="shared">+L101</f>
      </c>
      <c r="M136" s="145"/>
      <c r="N136" s="146"/>
      <c r="O136" s="127">
        <f ref="O136:O151" si="50" t="shared">+SUM(G136:L136)</f>
      </c>
      <c r="P136" s="129">
        <f ref="P136:P151" si="51" t="shared">IF(G101+H101+I101+J101+K101+L101&gt;=100,100-H101-I101-J101-K101-L101,G101)</f>
      </c>
      <c r="Q136" s="129">
        <f ref="Q136:Q151" si="52" t="shared">IF(H101+I101+J101+K101+L101&gt;=100,100-I101-J101-K101-L101,H101)</f>
      </c>
      <c r="R136" s="129">
        <f ref="R136:R151" si="53" t="shared">IF(I101+J101+K101+L101&gt;=100,100-J101-K101-L101,I101)</f>
      </c>
      <c r="S136" s="129">
        <f ref="S136:S151" si="54" t="shared">IF(J101+K101+L101&gt;=100,100-K101-L101,J101)</f>
      </c>
      <c r="T136" s="129">
        <f ref="T136:T151" si="55" t="shared">+IF(K101+L101&gt;100,100-L101,K101)</f>
      </c>
      <c r="U136" s="129">
        <f ref="U136:U151" si="56" t="shared">+L101</f>
      </c>
    </row>
    <row hidden="1" outlineLevel="1" r="137" spans="1:21" x14ac:dyDescent="0.15">
      <c r="A137" s="166">
        <f si="34" t="shared"/>
      </c>
      <c r="B137" s="166"/>
      <c r="C137" s="235">
        <f si="34" t="shared"/>
      </c>
      <c r="D137" s="166"/>
      <c r="E137" s="166"/>
      <c r="F137" s="166"/>
      <c r="G137" s="166">
        <f si="44" t="shared"/>
      </c>
      <c r="H137" s="166">
        <f si="45" t="shared"/>
      </c>
      <c r="I137" s="166">
        <f si="46" t="shared"/>
      </c>
      <c r="J137" s="166">
        <f si="47" t="shared"/>
      </c>
      <c r="K137" s="166">
        <f si="48" t="shared"/>
      </c>
      <c r="L137" s="166">
        <f si="49" t="shared"/>
      </c>
      <c r="M137" s="145"/>
      <c r="N137" s="146"/>
      <c r="O137" s="127">
        <f si="50" t="shared"/>
      </c>
      <c r="P137" s="129">
        <f si="51" t="shared"/>
      </c>
      <c r="Q137" s="129">
        <f si="52" t="shared"/>
      </c>
      <c r="R137" s="129">
        <f si="53" t="shared"/>
      </c>
      <c r="S137" s="129">
        <f si="54" t="shared"/>
      </c>
      <c r="T137" s="129">
        <f si="55" t="shared"/>
      </c>
      <c r="U137" s="129">
        <f si="56" t="shared"/>
      </c>
    </row>
    <row hidden="1" outlineLevel="1" r="138" spans="1:21" x14ac:dyDescent="0.15">
      <c r="A138" s="166">
        <f si="34" t="shared"/>
      </c>
      <c r="B138" s="166"/>
      <c r="C138" s="235">
        <f si="34" t="shared"/>
      </c>
      <c r="D138" s="166"/>
      <c r="E138" s="166"/>
      <c r="F138" s="166"/>
      <c r="G138" s="166">
        <f si="44" t="shared"/>
      </c>
      <c r="H138" s="166">
        <f si="45" t="shared"/>
      </c>
      <c r="I138" s="166">
        <f si="46" t="shared"/>
      </c>
      <c r="J138" s="166">
        <f si="47" t="shared"/>
      </c>
      <c r="K138" s="166">
        <f si="48" t="shared"/>
      </c>
      <c r="L138" s="166">
        <f si="49" t="shared"/>
      </c>
      <c r="M138" s="145"/>
      <c r="N138" s="146"/>
      <c r="O138" s="127">
        <f si="50" t="shared"/>
      </c>
      <c r="P138" s="129">
        <f si="51" t="shared"/>
      </c>
      <c r="Q138" s="129">
        <f si="52" t="shared"/>
      </c>
      <c r="R138" s="129">
        <f si="53" t="shared"/>
      </c>
      <c r="S138" s="129">
        <f si="54" t="shared"/>
      </c>
      <c r="T138" s="129">
        <f si="55" t="shared"/>
      </c>
      <c r="U138" s="129">
        <f si="56" t="shared"/>
      </c>
    </row>
    <row hidden="1" outlineLevel="1" r="139" spans="1:21" x14ac:dyDescent="0.15">
      <c r="A139" s="166">
        <f si="34" t="shared"/>
      </c>
      <c r="B139" s="166"/>
      <c r="C139" s="235">
        <f si="34" t="shared"/>
      </c>
      <c r="D139" s="166"/>
      <c r="E139" s="166"/>
      <c r="F139" s="166"/>
      <c r="G139" s="166">
        <f si="44" t="shared"/>
      </c>
      <c r="H139" s="166">
        <f si="45" t="shared"/>
      </c>
      <c r="I139" s="166">
        <f si="46" t="shared"/>
      </c>
      <c r="J139" s="166">
        <f si="47" t="shared"/>
      </c>
      <c r="K139" s="166">
        <f si="48" t="shared"/>
      </c>
      <c r="L139" s="166">
        <f si="49" t="shared"/>
      </c>
      <c r="M139" s="145"/>
      <c r="N139" s="146"/>
      <c r="O139" s="127">
        <f si="50" t="shared"/>
      </c>
      <c r="P139" s="129">
        <f si="51" t="shared"/>
      </c>
      <c r="Q139" s="129">
        <f si="52" t="shared"/>
      </c>
      <c r="R139" s="129">
        <f si="53" t="shared"/>
      </c>
      <c r="S139" s="129">
        <f si="54" t="shared"/>
      </c>
      <c r="T139" s="129">
        <f si="55" t="shared"/>
      </c>
      <c r="U139" s="129">
        <f si="56" t="shared"/>
      </c>
    </row>
    <row hidden="1" outlineLevel="1" r="140" spans="1:21" x14ac:dyDescent="0.15">
      <c r="A140" s="166">
        <f si="34" t="shared"/>
      </c>
      <c r="B140" s="166"/>
      <c r="C140" s="235">
        <f si="34" t="shared"/>
      </c>
      <c r="D140" s="166"/>
      <c r="E140" s="166"/>
      <c r="F140" s="166"/>
      <c r="G140" s="166">
        <f si="44" t="shared"/>
      </c>
      <c r="H140" s="166">
        <f si="45" t="shared"/>
      </c>
      <c r="I140" s="166">
        <f si="46" t="shared"/>
      </c>
      <c r="J140" s="166">
        <f si="47" t="shared"/>
      </c>
      <c r="K140" s="166">
        <f si="48" t="shared"/>
      </c>
      <c r="L140" s="166">
        <f si="49" t="shared"/>
      </c>
      <c r="M140" s="145"/>
      <c r="N140" s="146"/>
      <c r="O140" s="127">
        <f si="50" t="shared"/>
      </c>
      <c r="P140" s="129">
        <f si="51" t="shared"/>
      </c>
      <c r="Q140" s="129">
        <f si="52" t="shared"/>
      </c>
      <c r="R140" s="129">
        <f si="53" t="shared"/>
      </c>
      <c r="S140" s="129">
        <f si="54" t="shared"/>
      </c>
      <c r="T140" s="129">
        <f si="55" t="shared"/>
      </c>
      <c r="U140" s="129">
        <f si="56" t="shared"/>
      </c>
    </row>
    <row hidden="1" outlineLevel="1" r="141" spans="1:21" x14ac:dyDescent="0.15">
      <c r="A141" s="166">
        <f si="34" t="shared"/>
      </c>
      <c r="B141" s="166"/>
      <c r="C141" s="235">
        <f si="34" t="shared"/>
      </c>
      <c r="D141" s="166"/>
      <c r="E141" s="166"/>
      <c r="F141" s="166"/>
      <c r="G141" s="166">
        <f si="44" t="shared"/>
      </c>
      <c r="H141" s="166">
        <f si="45" t="shared"/>
      </c>
      <c r="I141" s="166">
        <f si="46" t="shared"/>
      </c>
      <c r="J141" s="166">
        <f si="47" t="shared"/>
      </c>
      <c r="K141" s="166">
        <f si="48" t="shared"/>
      </c>
      <c r="L141" s="166">
        <f si="49" t="shared"/>
      </c>
      <c r="M141" s="145"/>
      <c r="N141" s="146"/>
      <c r="O141" s="127">
        <f si="50" t="shared"/>
      </c>
      <c r="P141" s="129">
        <f si="51" t="shared"/>
      </c>
      <c r="Q141" s="129">
        <f si="52" t="shared"/>
      </c>
      <c r="R141" s="129">
        <f si="53" t="shared"/>
      </c>
      <c r="S141" s="129">
        <f si="54" t="shared"/>
      </c>
      <c r="T141" s="129">
        <f si="55" t="shared"/>
      </c>
      <c r="U141" s="129">
        <f si="56" t="shared"/>
      </c>
    </row>
    <row hidden="1" outlineLevel="1" r="142" spans="1:21" x14ac:dyDescent="0.15">
      <c r="A142" s="166">
        <f si="34" t="shared"/>
      </c>
      <c r="B142" s="166"/>
      <c r="C142" s="235">
        <f si="34" t="shared"/>
      </c>
      <c r="D142" s="166"/>
      <c r="E142" s="166"/>
      <c r="F142" s="166"/>
      <c r="G142" s="166">
        <f si="44" t="shared"/>
      </c>
      <c r="H142" s="166">
        <f si="45" t="shared"/>
      </c>
      <c r="I142" s="166">
        <f si="46" t="shared"/>
      </c>
      <c r="J142" s="166">
        <f si="47" t="shared"/>
      </c>
      <c r="K142" s="166">
        <f si="48" t="shared"/>
      </c>
      <c r="L142" s="166">
        <f si="49" t="shared"/>
      </c>
      <c r="M142" s="145"/>
      <c r="N142" s="146"/>
      <c r="O142" s="127">
        <f si="50" t="shared"/>
      </c>
      <c r="P142" s="129">
        <f si="51" t="shared"/>
      </c>
      <c r="Q142" s="129">
        <f si="52" t="shared"/>
      </c>
      <c r="R142" s="129">
        <f si="53" t="shared"/>
      </c>
      <c r="S142" s="129">
        <f si="54" t="shared"/>
      </c>
      <c r="T142" s="129">
        <f si="55" t="shared"/>
      </c>
      <c r="U142" s="129">
        <f si="56" t="shared"/>
      </c>
    </row>
    <row hidden="1" outlineLevel="1" r="143" spans="1:21" x14ac:dyDescent="0.15">
      <c r="A143" s="166">
        <f si="34" t="shared"/>
      </c>
      <c r="B143" s="166"/>
      <c r="C143" s="235">
        <f si="34" t="shared"/>
      </c>
      <c r="D143" s="166"/>
      <c r="E143" s="166"/>
      <c r="F143" s="166"/>
      <c r="G143" s="166">
        <f si="44" t="shared"/>
      </c>
      <c r="H143" s="166">
        <f si="45" t="shared"/>
      </c>
      <c r="I143" s="166">
        <f si="46" t="shared"/>
      </c>
      <c r="J143" s="166">
        <f si="47" t="shared"/>
      </c>
      <c r="K143" s="166">
        <f si="48" t="shared"/>
      </c>
      <c r="L143" s="166">
        <f si="49" t="shared"/>
      </c>
      <c r="M143" s="145"/>
      <c r="N143" s="146"/>
      <c r="O143" s="127">
        <f si="50" t="shared"/>
      </c>
      <c r="P143" s="129">
        <f si="51" t="shared"/>
      </c>
      <c r="Q143" s="129">
        <f si="52" t="shared"/>
      </c>
      <c r="R143" s="129">
        <f si="53" t="shared"/>
      </c>
      <c r="S143" s="129">
        <f si="54" t="shared"/>
      </c>
      <c r="T143" s="129">
        <f si="55" t="shared"/>
      </c>
      <c r="U143" s="129">
        <f si="56" t="shared"/>
      </c>
    </row>
    <row hidden="1" outlineLevel="1" r="144" spans="1:21" x14ac:dyDescent="0.15">
      <c r="A144" s="166">
        <f si="34" t="shared"/>
      </c>
      <c r="B144" s="166"/>
      <c r="C144" s="235">
        <f si="34" t="shared"/>
      </c>
      <c r="D144" s="166"/>
      <c r="E144" s="166"/>
      <c r="F144" s="166"/>
      <c r="G144" s="166">
        <f si="44" t="shared"/>
      </c>
      <c r="H144" s="166">
        <f si="45" t="shared"/>
      </c>
      <c r="I144" s="166">
        <f si="46" t="shared"/>
      </c>
      <c r="J144" s="166">
        <f si="47" t="shared"/>
      </c>
      <c r="K144" s="166">
        <f si="48" t="shared"/>
      </c>
      <c r="L144" s="166">
        <f si="49" t="shared"/>
      </c>
      <c r="M144" s="145"/>
      <c r="N144" s="146"/>
      <c r="O144" s="127">
        <f si="50" t="shared"/>
      </c>
      <c r="P144" s="129">
        <f si="51" t="shared"/>
      </c>
      <c r="Q144" s="129">
        <f si="52" t="shared"/>
      </c>
      <c r="R144" s="129">
        <f si="53" t="shared"/>
      </c>
      <c r="S144" s="129">
        <f si="54" t="shared"/>
      </c>
      <c r="T144" s="129">
        <f si="55" t="shared"/>
      </c>
      <c r="U144" s="129">
        <f si="56" t="shared"/>
      </c>
    </row>
    <row hidden="1" outlineLevel="1" r="145" spans="1:21" x14ac:dyDescent="0.15">
      <c r="A145" s="166">
        <f si="34" t="shared"/>
      </c>
      <c r="B145" s="166"/>
      <c r="C145" s="235">
        <f si="34" t="shared"/>
      </c>
      <c r="D145" s="166"/>
      <c r="E145" s="166"/>
      <c r="F145" s="166"/>
      <c r="G145" s="166">
        <f si="44" t="shared"/>
      </c>
      <c r="H145" s="166">
        <f si="45" t="shared"/>
      </c>
      <c r="I145" s="166">
        <f si="46" t="shared"/>
      </c>
      <c r="J145" s="166">
        <f si="47" t="shared"/>
      </c>
      <c r="K145" s="166">
        <f si="48" t="shared"/>
      </c>
      <c r="L145" s="166">
        <f si="49" t="shared"/>
      </c>
      <c r="M145" s="145"/>
      <c r="N145" s="146"/>
      <c r="O145" s="127">
        <f si="50" t="shared"/>
      </c>
      <c r="P145" s="129">
        <f si="51" t="shared"/>
      </c>
      <c r="Q145" s="129">
        <f si="52" t="shared"/>
      </c>
      <c r="R145" s="129">
        <f si="53" t="shared"/>
      </c>
      <c r="S145" s="129">
        <f si="54" t="shared"/>
      </c>
      <c r="T145" s="129">
        <f si="55" t="shared"/>
      </c>
      <c r="U145" s="129">
        <f si="56" t="shared"/>
      </c>
    </row>
    <row hidden="1" outlineLevel="1" r="146" spans="1:21" x14ac:dyDescent="0.15">
      <c r="A146" s="166">
        <f si="34" t="shared"/>
      </c>
      <c r="B146" s="166"/>
      <c r="C146" s="235">
        <f si="34" t="shared"/>
      </c>
      <c r="D146" s="166"/>
      <c r="E146" s="166"/>
      <c r="F146" s="166"/>
      <c r="G146" s="166">
        <f si="44" t="shared"/>
      </c>
      <c r="H146" s="166">
        <f si="45" t="shared"/>
      </c>
      <c r="I146" s="166">
        <f si="46" t="shared"/>
      </c>
      <c r="J146" s="166">
        <f si="47" t="shared"/>
      </c>
      <c r="K146" s="166">
        <f si="48" t="shared"/>
      </c>
      <c r="L146" s="166">
        <f si="49" t="shared"/>
      </c>
      <c r="M146" s="145"/>
      <c r="N146" s="146"/>
      <c r="O146" s="127">
        <f si="50" t="shared"/>
      </c>
      <c r="P146" s="129">
        <f si="51" t="shared"/>
      </c>
      <c r="Q146" s="129">
        <f si="52" t="shared"/>
      </c>
      <c r="R146" s="129">
        <f si="53" t="shared"/>
      </c>
      <c r="S146" s="129">
        <f si="54" t="shared"/>
      </c>
      <c r="T146" s="129">
        <f si="55" t="shared"/>
      </c>
      <c r="U146" s="129">
        <f si="56" t="shared"/>
      </c>
    </row>
    <row hidden="1" outlineLevel="1" r="147" spans="1:21" x14ac:dyDescent="0.15">
      <c r="A147" s="166">
        <f si="34" t="shared"/>
      </c>
      <c r="B147" s="166"/>
      <c r="C147" s="235">
        <f si="34" t="shared"/>
      </c>
      <c r="D147" s="166"/>
      <c r="E147" s="166"/>
      <c r="F147" s="166"/>
      <c r="G147" s="166">
        <f si="44" t="shared"/>
      </c>
      <c r="H147" s="166">
        <f si="45" t="shared"/>
      </c>
      <c r="I147" s="166">
        <f si="46" t="shared"/>
      </c>
      <c r="J147" s="166">
        <f si="47" t="shared"/>
      </c>
      <c r="K147" s="166">
        <f si="48" t="shared"/>
      </c>
      <c r="L147" s="166">
        <f si="49" t="shared"/>
      </c>
      <c r="M147" s="145"/>
      <c r="N147" s="146"/>
      <c r="O147" s="127">
        <f si="50" t="shared"/>
      </c>
      <c r="P147" s="129">
        <f si="51" t="shared"/>
      </c>
      <c r="Q147" s="129">
        <f si="52" t="shared"/>
      </c>
      <c r="R147" s="129">
        <f si="53" t="shared"/>
      </c>
      <c r="S147" s="129">
        <f si="54" t="shared"/>
      </c>
      <c r="T147" s="129">
        <f si="55" t="shared"/>
      </c>
      <c r="U147" s="129">
        <f si="56" t="shared"/>
      </c>
    </row>
    <row hidden="1" outlineLevel="1" r="148" spans="1:21" x14ac:dyDescent="0.15">
      <c r="A148" s="166">
        <f si="34" t="shared"/>
      </c>
      <c r="B148" s="166"/>
      <c r="C148" s="235">
        <f si="34" t="shared"/>
      </c>
      <c r="D148" s="166"/>
      <c r="E148" s="166"/>
      <c r="F148" s="166"/>
      <c r="G148" s="166">
        <f si="44" t="shared"/>
      </c>
      <c r="H148" s="166">
        <f si="45" t="shared"/>
      </c>
      <c r="I148" s="166">
        <f si="46" t="shared"/>
      </c>
      <c r="J148" s="166">
        <f si="47" t="shared"/>
      </c>
      <c r="K148" s="166">
        <f si="48" t="shared"/>
      </c>
      <c r="L148" s="166">
        <f si="49" t="shared"/>
      </c>
      <c r="M148" s="145"/>
      <c r="N148" s="146"/>
      <c r="O148" s="127">
        <f si="50" t="shared"/>
      </c>
      <c r="P148" s="129">
        <f si="51" t="shared"/>
      </c>
      <c r="Q148" s="129">
        <f si="52" t="shared"/>
      </c>
      <c r="R148" s="129">
        <f si="53" t="shared"/>
      </c>
      <c r="S148" s="129">
        <f si="54" t="shared"/>
      </c>
      <c r="T148" s="129">
        <f si="55" t="shared"/>
      </c>
      <c r="U148" s="129">
        <f si="56" t="shared"/>
      </c>
    </row>
    <row hidden="1" outlineLevel="1" r="149" spans="1:21" x14ac:dyDescent="0.15">
      <c r="A149" s="166">
        <f si="34" t="shared"/>
      </c>
      <c r="B149" s="166"/>
      <c r="C149" s="235">
        <f si="34" t="shared"/>
      </c>
      <c r="D149" s="166"/>
      <c r="E149" s="166"/>
      <c r="F149" s="166"/>
      <c r="G149" s="166">
        <f si="44" t="shared"/>
      </c>
      <c r="H149" s="166">
        <f si="45" t="shared"/>
      </c>
      <c r="I149" s="166">
        <f si="46" t="shared"/>
      </c>
      <c r="J149" s="166">
        <f si="47" t="shared"/>
      </c>
      <c r="K149" s="166">
        <f si="48" t="shared"/>
      </c>
      <c r="L149" s="166">
        <f si="49" t="shared"/>
      </c>
      <c r="M149" s="145"/>
      <c r="N149" s="146"/>
      <c r="O149" s="127">
        <f si="50" t="shared"/>
      </c>
      <c r="P149" s="129">
        <f si="51" t="shared"/>
      </c>
      <c r="Q149" s="129">
        <f si="52" t="shared"/>
      </c>
      <c r="R149" s="129">
        <f si="53" t="shared"/>
      </c>
      <c r="S149" s="129">
        <f si="54" t="shared"/>
      </c>
      <c r="T149" s="129">
        <f si="55" t="shared"/>
      </c>
      <c r="U149" s="129">
        <f si="56" t="shared"/>
      </c>
    </row>
    <row hidden="1" outlineLevel="1" r="150" spans="1:21" x14ac:dyDescent="0.15">
      <c r="A150" s="166">
        <f si="34" t="shared"/>
      </c>
      <c r="B150" s="166"/>
      <c r="C150" s="235">
        <f si="34" t="shared"/>
      </c>
      <c r="D150" s="166"/>
      <c r="E150" s="166"/>
      <c r="F150" s="166"/>
      <c r="G150" s="166">
        <f si="44" t="shared"/>
      </c>
      <c r="H150" s="166">
        <f si="45" t="shared"/>
      </c>
      <c r="I150" s="166">
        <f si="46" t="shared"/>
      </c>
      <c r="J150" s="166">
        <f si="47" t="shared"/>
      </c>
      <c r="K150" s="166">
        <f si="48" t="shared"/>
      </c>
      <c r="L150" s="166">
        <f si="49" t="shared"/>
      </c>
      <c r="M150" s="145"/>
      <c r="N150" s="146"/>
      <c r="O150" s="127">
        <f si="50" t="shared"/>
      </c>
      <c r="P150" s="129">
        <f si="51" t="shared"/>
      </c>
      <c r="Q150" s="129">
        <f si="52" t="shared"/>
      </c>
      <c r="R150" s="129">
        <f si="53" t="shared"/>
      </c>
      <c r="S150" s="129">
        <f si="54" t="shared"/>
      </c>
      <c r="T150" s="129">
        <f si="55" t="shared"/>
      </c>
      <c r="U150" s="129">
        <f si="56" t="shared"/>
      </c>
    </row>
    <row hidden="1" outlineLevel="1" r="151" spans="1:21" x14ac:dyDescent="0.15">
      <c r="A151" s="233">
        <f si="34" t="shared"/>
      </c>
      <c r="B151" s="233"/>
      <c r="C151" s="232">
        <f si="34" t="shared"/>
      </c>
      <c r="D151" s="233"/>
      <c r="E151" s="233"/>
      <c r="F151" s="233"/>
      <c r="G151" s="233">
        <f si="44" t="shared"/>
      </c>
      <c r="H151" s="233">
        <f si="45" t="shared"/>
      </c>
      <c r="I151" s="233">
        <f si="46" t="shared"/>
      </c>
      <c r="J151" s="233">
        <f si="47" t="shared"/>
      </c>
      <c r="K151" s="233">
        <f si="48" t="shared"/>
      </c>
      <c r="L151" s="233">
        <f si="49" t="shared"/>
      </c>
      <c r="M151" s="145"/>
      <c r="N151" s="146"/>
      <c r="O151" s="127">
        <f si="50" t="shared"/>
      </c>
      <c r="P151" s="129">
        <f si="51" t="shared"/>
      </c>
      <c r="Q151" s="129">
        <f si="52" t="shared"/>
      </c>
      <c r="R151" s="129">
        <f si="53" t="shared"/>
      </c>
      <c r="S151" s="129">
        <f si="54" t="shared"/>
      </c>
      <c r="T151" s="129">
        <f si="55" t="shared"/>
      </c>
      <c r="U151" s="129">
        <f si="56" t="shared"/>
      </c>
    </row>
    <row hidden="1" outlineLevel="1" r="152" spans="1:21" x14ac:dyDescent="0.25"/>
    <row hidden="1" outlineLevel="1" r="153" spans="1:21" x14ac:dyDescent="0.25"/>
    <row hidden="1" outlineLevel="1" r="154" spans="1:21" x14ac:dyDescent="0.2">
      <c r="A154" s="168" t="s">
        <v>454</v>
      </c>
      <c r="B154" s="478"/>
      <c r="C154" s="132" t="s">
        <v>455</v>
      </c>
      <c r="D154" s="132"/>
      <c r="E154" s="132"/>
      <c r="F154" s="132"/>
      <c r="G154" s="133"/>
      <c r="H154" s="133"/>
      <c r="I154" s="133"/>
      <c r="J154" s="133"/>
      <c r="K154" s="133"/>
      <c r="L154" s="127"/>
    </row>
    <row hidden="1" outlineLevel="1" r="155" spans="1:21" x14ac:dyDescent="0.25">
      <c r="A155" s="692" t="s">
        <v>424</v>
      </c>
      <c r="B155" s="442"/>
      <c r="C155" s="692" t="s">
        <v>426</v>
      </c>
      <c r="D155" s="139"/>
      <c r="E155" s="140"/>
      <c r="F155" s="139"/>
      <c r="G155" s="705" t="s">
        <v>447</v>
      </c>
      <c r="H155" s="706"/>
      <c r="I155" s="706"/>
      <c r="J155" s="706"/>
      <c r="K155" s="706"/>
      <c r="L155" s="707"/>
      <c r="M155" s="246" t="s">
        <v>456</v>
      </c>
      <c r="N155" s="134"/>
    </row>
    <row hidden="1" outlineLevel="1" r="156" spans="1:21" x14ac:dyDescent="0.25">
      <c r="A156" s="693"/>
      <c r="B156" s="443"/>
      <c r="C156" s="693"/>
      <c r="D156" s="141" t="s">
        <v>457</v>
      </c>
      <c r="E156" s="141" t="s">
        <v>458</v>
      </c>
      <c r="F156" s="141"/>
      <c r="G156" s="253">
        <v>0</v>
      </c>
      <c r="H156" s="253">
        <v>1</v>
      </c>
      <c r="I156" s="253">
        <v>2</v>
      </c>
      <c r="J156" s="253">
        <v>3</v>
      </c>
      <c r="K156" s="253">
        <v>4</v>
      </c>
      <c r="L156" s="253">
        <v>5</v>
      </c>
      <c r="M156" s="247" t="s">
        <v>459</v>
      </c>
      <c r="N156" s="247" t="s">
        <v>460</v>
      </c>
    </row>
    <row hidden="1" outlineLevel="1" r="157" spans="1:21" x14ac:dyDescent="0.15">
      <c r="A157" s="228">
        <f ref="A157:C183" si="57" t="shared">+A122</f>
      </c>
      <c r="B157" s="228"/>
      <c r="C157" s="234" t="str">
        <f si="57" t="shared"/>
      </c>
      <c r="D157" s="237">
        <f>+SUM(G157:L157)</f>
      </c>
      <c r="E157" s="250">
        <f>POWER(D157,0.2)</f>
      </c>
      <c r="F157" s="238"/>
      <c r="G157" s="228">
        <f>0*G122/100</f>
      </c>
      <c r="H157" s="228">
        <f>1*H122/100</f>
      </c>
      <c r="I157" s="228">
        <f>32*I122/100</f>
      </c>
      <c r="J157" s="228">
        <f>243*J122/100</f>
      </c>
      <c r="K157" s="228">
        <f>1024*K122/100</f>
      </c>
      <c r="L157" s="228">
        <f>3125*L122/100</f>
      </c>
      <c r="M157" s="237">
        <f ref="M157:M171" si="58" t="shared">+F14</f>
      </c>
      <c r="N157" s="239">
        <f>+E157*M157</f>
      </c>
      <c r="P157" s="122">
        <f ref="P157:P183" si="59" t="shared">+IF(A157&gt;1,1,0)</f>
      </c>
    </row>
    <row hidden="1" outlineLevel="1" r="158" spans="1:21" x14ac:dyDescent="0.15">
      <c r="A158" s="166">
        <f si="57" t="shared"/>
      </c>
      <c r="B158" s="166"/>
      <c r="C158" s="235" t="str">
        <f si="57" t="shared"/>
      </c>
      <c r="D158" s="240">
        <f ref="D158:D165" si="60" t="shared">+SUM(G158:L158)</f>
      </c>
      <c r="E158" s="251">
        <f ref="E158:E165" si="61" t="shared">POWER(D158,0.2)</f>
      </c>
      <c r="F158" s="241"/>
      <c r="G158" s="166">
        <f>0*G123/100</f>
      </c>
      <c r="H158" s="166">
        <f>1*H123/100</f>
      </c>
      <c r="I158" s="166">
        <f>32*I123/100</f>
      </c>
      <c r="J158" s="166">
        <f>243*J123/100</f>
      </c>
      <c r="K158" s="166">
        <f>1024*K123/100</f>
      </c>
      <c r="L158" s="166">
        <f>3125*L123/100</f>
      </c>
      <c r="M158" s="240">
        <f si="58" t="shared"/>
      </c>
      <c r="N158" s="242">
        <f ref="N158:N165" si="62" t="shared">+E158*M158</f>
      </c>
      <c r="P158" s="122">
        <f si="59" t="shared"/>
      </c>
    </row>
    <row hidden="1" outlineLevel="1" r="159" spans="1:21" x14ac:dyDescent="0.15">
      <c r="A159" s="166">
        <f si="57" t="shared"/>
      </c>
      <c r="B159" s="166"/>
      <c r="C159" s="235" t="str">
        <f si="57" t="shared"/>
      </c>
      <c r="D159" s="240">
        <f si="60" t="shared"/>
      </c>
      <c r="E159" s="251">
        <f si="61" t="shared"/>
      </c>
      <c r="F159" s="241"/>
      <c r="G159" s="166">
        <f>0*G124/100</f>
      </c>
      <c r="H159" s="166">
        <f>1*H124/100</f>
      </c>
      <c r="I159" s="166">
        <f>32*I124/100</f>
      </c>
      <c r="J159" s="166">
        <f>243*J124/100</f>
      </c>
      <c r="K159" s="166">
        <f>1024*K124/100</f>
      </c>
      <c r="L159" s="166">
        <f>3125*L124/100</f>
      </c>
      <c r="M159" s="240">
        <f si="58" t="shared"/>
      </c>
      <c r="N159" s="242">
        <f si="62" t="shared"/>
      </c>
      <c r="P159" s="122">
        <f si="59" t="shared"/>
      </c>
    </row>
    <row hidden="1" outlineLevel="1" r="160" spans="1:21" x14ac:dyDescent="0.15">
      <c r="A160" s="166">
        <f si="57" t="shared"/>
      </c>
      <c r="B160" s="166"/>
      <c r="C160" s="235" t="str">
        <f si="57" t="shared"/>
      </c>
      <c r="D160" s="240">
        <f si="60" t="shared"/>
      </c>
      <c r="E160" s="251">
        <f si="61" t="shared"/>
      </c>
      <c r="F160" s="241"/>
      <c r="G160" s="166">
        <f ref="G160:G177" si="63" t="shared">0*G125/100</f>
      </c>
      <c r="H160" s="166">
        <f ref="H160:H177" si="64" t="shared">1*H125/100</f>
      </c>
      <c r="I160" s="166">
        <f ref="I160:I177" si="65" t="shared">32*I125/100</f>
      </c>
      <c r="J160" s="166">
        <f ref="J160:J177" si="66" t="shared">243*J125/100</f>
      </c>
      <c r="K160" s="166">
        <f ref="K160:K177" si="67" t="shared">1024*K125/100</f>
      </c>
      <c r="L160" s="166">
        <f ref="L160:L177" si="68" t="shared">3125*L125/100</f>
      </c>
      <c r="M160" s="240">
        <f si="58" t="shared"/>
      </c>
      <c r="N160" s="242">
        <f si="62" t="shared"/>
      </c>
      <c r="P160" s="122">
        <f si="59" t="shared"/>
      </c>
    </row>
    <row hidden="1" outlineLevel="1" r="161" spans="1:16" x14ac:dyDescent="0.15">
      <c r="A161" s="166">
        <f si="57" t="shared"/>
      </c>
      <c r="B161" s="166"/>
      <c r="C161" s="235" t="str">
        <f si="57" t="shared"/>
      </c>
      <c r="D161" s="240">
        <f si="60" t="shared"/>
      </c>
      <c r="E161" s="251">
        <f si="61" t="shared"/>
      </c>
      <c r="F161" s="241"/>
      <c r="G161" s="166">
        <f si="63" t="shared"/>
      </c>
      <c r="H161" s="166">
        <f si="64" t="shared"/>
      </c>
      <c r="I161" s="166">
        <f si="65" t="shared"/>
      </c>
      <c r="J161" s="166">
        <f si="66" t="shared"/>
      </c>
      <c r="K161" s="166">
        <f si="67" t="shared"/>
      </c>
      <c r="L161" s="166">
        <f si="68" t="shared"/>
      </c>
      <c r="M161" s="240">
        <f si="58" t="shared"/>
      </c>
      <c r="N161" s="242">
        <f si="62" t="shared"/>
      </c>
      <c r="P161" s="122">
        <f si="59" t="shared"/>
      </c>
    </row>
    <row hidden="1" outlineLevel="1" r="162" spans="1:16" x14ac:dyDescent="0.15">
      <c r="A162" s="166">
        <f si="57" t="shared"/>
      </c>
      <c r="B162" s="166"/>
      <c r="C162" s="235" t="str">
        <f si="57" t="shared"/>
      </c>
      <c r="D162" s="240">
        <f si="60" t="shared"/>
      </c>
      <c r="E162" s="251">
        <f si="61" t="shared"/>
      </c>
      <c r="F162" s="241"/>
      <c r="G162" s="166">
        <f si="63" t="shared"/>
      </c>
      <c r="H162" s="166">
        <f si="64" t="shared"/>
      </c>
      <c r="I162" s="166">
        <f si="65" t="shared"/>
      </c>
      <c r="J162" s="166">
        <f si="66" t="shared"/>
      </c>
      <c r="K162" s="166">
        <f si="67" t="shared"/>
      </c>
      <c r="L162" s="166">
        <f si="68" t="shared"/>
      </c>
      <c r="M162" s="240">
        <f si="58" t="shared"/>
      </c>
      <c r="N162" s="242">
        <f si="62" t="shared"/>
      </c>
      <c r="P162" s="122">
        <f si="59" t="shared"/>
      </c>
    </row>
    <row hidden="1" outlineLevel="1" r="163" spans="1:16" x14ac:dyDescent="0.15">
      <c r="A163" s="166">
        <f si="57" t="shared"/>
      </c>
      <c r="B163" s="166"/>
      <c r="C163" s="235" t="str">
        <f si="57" t="shared"/>
      </c>
      <c r="D163" s="240">
        <f si="60" t="shared"/>
      </c>
      <c r="E163" s="251">
        <f si="61" t="shared"/>
      </c>
      <c r="F163" s="241"/>
      <c r="G163" s="166">
        <f si="63" t="shared"/>
      </c>
      <c r="H163" s="166">
        <f si="64" t="shared"/>
      </c>
      <c r="I163" s="166">
        <f si="65" t="shared"/>
      </c>
      <c r="J163" s="166">
        <f si="66" t="shared"/>
      </c>
      <c r="K163" s="166">
        <f si="67" t="shared"/>
      </c>
      <c r="L163" s="166">
        <f si="68" t="shared"/>
      </c>
      <c r="M163" s="240">
        <f si="58" t="shared"/>
      </c>
      <c r="N163" s="242">
        <f si="62" t="shared"/>
      </c>
      <c r="P163" s="122">
        <f si="59" t="shared"/>
      </c>
    </row>
    <row hidden="1" outlineLevel="1" r="164" spans="1:16" x14ac:dyDescent="0.15">
      <c r="A164" s="166">
        <f si="57" t="shared"/>
      </c>
      <c r="B164" s="166"/>
      <c r="C164" s="235" t="str">
        <f si="57" t="shared"/>
      </c>
      <c r="D164" s="240">
        <f si="60" t="shared"/>
      </c>
      <c r="E164" s="251">
        <f si="61" t="shared"/>
      </c>
      <c r="F164" s="241"/>
      <c r="G164" s="166">
        <f si="63" t="shared"/>
      </c>
      <c r="H164" s="166">
        <f si="64" t="shared"/>
      </c>
      <c r="I164" s="166">
        <f si="65" t="shared"/>
      </c>
      <c r="J164" s="166">
        <f si="66" t="shared"/>
      </c>
      <c r="K164" s="166">
        <f si="67" t="shared"/>
      </c>
      <c r="L164" s="166">
        <f si="68" t="shared"/>
      </c>
      <c r="M164" s="240">
        <f si="58" t="shared"/>
      </c>
      <c r="N164" s="242">
        <f si="62" t="shared"/>
      </c>
      <c r="P164" s="122">
        <f si="59" t="shared"/>
      </c>
    </row>
    <row hidden="1" outlineLevel="1" r="165" spans="1:16" x14ac:dyDescent="0.15">
      <c r="A165" s="166">
        <f si="57" t="shared"/>
      </c>
      <c r="B165" s="166"/>
      <c r="C165" s="235" t="str">
        <f si="57" t="shared"/>
      </c>
      <c r="D165" s="240">
        <f si="60" t="shared"/>
      </c>
      <c r="E165" s="251">
        <f si="61" t="shared"/>
      </c>
      <c r="F165" s="241"/>
      <c r="G165" s="166">
        <f si="63" t="shared"/>
      </c>
      <c r="H165" s="166">
        <f si="64" t="shared"/>
      </c>
      <c r="I165" s="166">
        <f si="65" t="shared"/>
      </c>
      <c r="J165" s="166">
        <f si="66" t="shared"/>
      </c>
      <c r="K165" s="166">
        <f si="67" t="shared"/>
      </c>
      <c r="L165" s="166">
        <f si="68" t="shared"/>
      </c>
      <c r="M165" s="240">
        <f si="58" t="shared"/>
      </c>
      <c r="N165" s="242">
        <f si="62" t="shared"/>
      </c>
      <c r="P165" s="122">
        <f si="59" t="shared"/>
      </c>
    </row>
    <row hidden="1" outlineLevel="1" r="166" spans="1:16" x14ac:dyDescent="0.15">
      <c r="A166" s="166">
        <f si="57" t="shared"/>
      </c>
      <c r="B166" s="166"/>
      <c r="C166" s="235" t="str">
        <f si="57" t="shared"/>
      </c>
      <c r="D166" s="240">
        <f ref="D166:D183" si="69" t="shared">+SUM(G166:L166)</f>
      </c>
      <c r="E166" s="251">
        <f ref="E166:E183" si="70" t="shared">POWER(D166,0.2)</f>
      </c>
      <c r="F166" s="241"/>
      <c r="G166" s="166">
        <f si="63" t="shared"/>
      </c>
      <c r="H166" s="166">
        <f si="64" t="shared"/>
      </c>
      <c r="I166" s="166">
        <f si="65" t="shared"/>
      </c>
      <c r="J166" s="166">
        <f si="66" t="shared"/>
      </c>
      <c r="K166" s="166">
        <f si="67" t="shared"/>
      </c>
      <c r="L166" s="166">
        <f si="68" t="shared"/>
      </c>
      <c r="M166" s="240">
        <f si="58" t="shared"/>
      </c>
      <c r="N166" s="242">
        <f ref="N166:N183" si="71" t="shared">+E166*M166</f>
      </c>
      <c r="P166" s="122">
        <f si="59" t="shared"/>
      </c>
    </row>
    <row hidden="1" outlineLevel="1" r="167" spans="1:16" x14ac:dyDescent="0.15">
      <c r="A167" s="166">
        <f si="57" t="shared"/>
      </c>
      <c r="B167" s="166"/>
      <c r="C167" s="235" t="str">
        <f si="57" t="shared"/>
      </c>
      <c r="D167" s="240">
        <f si="69" t="shared"/>
      </c>
      <c r="E167" s="251">
        <f si="70" t="shared"/>
      </c>
      <c r="F167" s="241"/>
      <c r="G167" s="166">
        <f si="63" t="shared"/>
      </c>
      <c r="H167" s="166">
        <f si="64" t="shared"/>
      </c>
      <c r="I167" s="166">
        <f si="65" t="shared"/>
      </c>
      <c r="J167" s="166">
        <f si="66" t="shared"/>
      </c>
      <c r="K167" s="166">
        <f si="67" t="shared"/>
      </c>
      <c r="L167" s="166">
        <f si="68" t="shared"/>
      </c>
      <c r="M167" s="240">
        <f si="58" t="shared"/>
      </c>
      <c r="N167" s="242">
        <f si="71" t="shared"/>
      </c>
      <c r="P167" s="122">
        <f si="59" t="shared"/>
      </c>
    </row>
    <row hidden="1" outlineLevel="1" r="168" spans="1:16" x14ac:dyDescent="0.15">
      <c r="A168" s="166">
        <f si="57" t="shared"/>
      </c>
      <c r="B168" s="166"/>
      <c r="C168" s="235" t="str">
        <f si="57" t="shared"/>
      </c>
      <c r="D168" s="240">
        <f si="69" t="shared"/>
      </c>
      <c r="E168" s="251">
        <f si="70" t="shared"/>
      </c>
      <c r="F168" s="241"/>
      <c r="G168" s="166">
        <f si="63" t="shared"/>
      </c>
      <c r="H168" s="166">
        <f si="64" t="shared"/>
      </c>
      <c r="I168" s="166">
        <f si="65" t="shared"/>
      </c>
      <c r="J168" s="166">
        <f si="66" t="shared"/>
      </c>
      <c r="K168" s="166">
        <f si="67" t="shared"/>
      </c>
      <c r="L168" s="166">
        <f si="68" t="shared"/>
      </c>
      <c r="M168" s="240">
        <f si="58" t="shared"/>
      </c>
      <c r="N168" s="242">
        <f si="71" t="shared"/>
      </c>
      <c r="P168" s="122">
        <f si="59" t="shared"/>
      </c>
    </row>
    <row hidden="1" outlineLevel="1" r="169" spans="1:16" x14ac:dyDescent="0.15">
      <c r="A169" s="166">
        <f si="57" t="shared"/>
      </c>
      <c r="B169" s="166"/>
      <c r="C169" s="235" t="str">
        <f si="57" t="shared"/>
      </c>
      <c r="D169" s="240">
        <f si="69" t="shared"/>
      </c>
      <c r="E169" s="251">
        <f si="70" t="shared"/>
      </c>
      <c r="F169" s="241"/>
      <c r="G169" s="166">
        <f si="63" t="shared"/>
      </c>
      <c r="H169" s="166">
        <f si="64" t="shared"/>
      </c>
      <c r="I169" s="166">
        <f si="65" t="shared"/>
      </c>
      <c r="J169" s="166">
        <f si="66" t="shared"/>
      </c>
      <c r="K169" s="166">
        <f si="67" t="shared"/>
      </c>
      <c r="L169" s="166">
        <f si="68" t="shared"/>
      </c>
      <c r="M169" s="240">
        <f si="58" t="shared"/>
      </c>
      <c r="N169" s="242">
        <f si="71" t="shared"/>
      </c>
      <c r="P169" s="122">
        <f si="59" t="shared"/>
      </c>
    </row>
    <row hidden="1" outlineLevel="1" r="170" spans="1:16" x14ac:dyDescent="0.15">
      <c r="A170" s="166">
        <f si="57" t="shared"/>
      </c>
      <c r="B170" s="166"/>
      <c r="C170" s="235" t="str">
        <f si="57" t="shared"/>
      </c>
      <c r="D170" s="240">
        <f si="69" t="shared"/>
      </c>
      <c r="E170" s="251">
        <f si="70" t="shared"/>
      </c>
      <c r="F170" s="241"/>
      <c r="G170" s="166">
        <f si="63" t="shared"/>
      </c>
      <c r="H170" s="166">
        <f si="64" t="shared"/>
      </c>
      <c r="I170" s="166">
        <f si="65" t="shared"/>
      </c>
      <c r="J170" s="166">
        <f si="66" t="shared"/>
      </c>
      <c r="K170" s="166">
        <f si="67" t="shared"/>
      </c>
      <c r="L170" s="166">
        <f si="68" t="shared"/>
      </c>
      <c r="M170" s="240">
        <f si="58" t="shared"/>
      </c>
      <c r="N170" s="242">
        <f si="71" t="shared"/>
      </c>
      <c r="P170" s="122">
        <f si="59" t="shared"/>
      </c>
    </row>
    <row hidden="1" outlineLevel="1" r="171" spans="1:16" x14ac:dyDescent="0.15">
      <c r="A171" s="166">
        <f si="57" t="shared"/>
      </c>
      <c r="B171" s="166"/>
      <c r="C171" s="235">
        <f si="57" t="shared"/>
      </c>
      <c r="D171" s="240">
        <f si="69" t="shared"/>
      </c>
      <c r="E171" s="251">
        <f si="70" t="shared"/>
      </c>
      <c r="F171" s="241"/>
      <c r="G171" s="166">
        <f si="63" t="shared"/>
      </c>
      <c r="H171" s="166">
        <f si="64" t="shared"/>
      </c>
      <c r="I171" s="166">
        <f si="65" t="shared"/>
      </c>
      <c r="J171" s="166">
        <f si="66" t="shared"/>
      </c>
      <c r="K171" s="166">
        <f si="67" t="shared"/>
      </c>
      <c r="L171" s="166">
        <f si="68" t="shared"/>
      </c>
      <c r="M171" s="240">
        <f si="58" t="shared"/>
      </c>
      <c r="N171" s="242">
        <f si="71" t="shared"/>
      </c>
      <c r="P171" s="122">
        <f si="59" t="shared"/>
      </c>
    </row>
    <row hidden="1" outlineLevel="1" r="172" spans="1:16" x14ac:dyDescent="0.15">
      <c r="A172" s="166">
        <f si="57" t="shared"/>
      </c>
      <c r="B172" s="166"/>
      <c r="C172" s="235">
        <f si="57" t="shared"/>
      </c>
      <c r="D172" s="240">
        <f si="69" t="shared"/>
      </c>
      <c r="E172" s="251">
        <f si="70" t="shared"/>
      </c>
      <c r="F172" s="241"/>
      <c r="G172" s="166">
        <f si="63" t="shared"/>
      </c>
      <c r="H172" s="166">
        <f si="64" t="shared"/>
      </c>
      <c r="I172" s="166">
        <f si="65" t="shared"/>
      </c>
      <c r="J172" s="166">
        <f si="66" t="shared"/>
      </c>
      <c r="K172" s="166">
        <f si="67" t="shared"/>
      </c>
      <c r="L172" s="166">
        <f si="68" t="shared"/>
      </c>
      <c r="M172" s="240">
        <f ref="M172:M177" si="72" t="shared">+F30</f>
      </c>
      <c r="N172" s="242">
        <f si="71" t="shared"/>
      </c>
      <c r="P172" s="122">
        <f si="59" t="shared"/>
      </c>
    </row>
    <row hidden="1" outlineLevel="1" r="173" spans="1:16" x14ac:dyDescent="0.15">
      <c r="A173" s="166">
        <f si="57" t="shared"/>
      </c>
      <c r="B173" s="166"/>
      <c r="C173" s="235">
        <f si="57" t="shared"/>
      </c>
      <c r="D173" s="240">
        <f si="69" t="shared"/>
      </c>
      <c r="E173" s="251">
        <f si="70" t="shared"/>
      </c>
      <c r="F173" s="241"/>
      <c r="G173" s="166">
        <f si="63" t="shared"/>
      </c>
      <c r="H173" s="166">
        <f si="64" t="shared"/>
      </c>
      <c r="I173" s="166">
        <f si="65" t="shared"/>
      </c>
      <c r="J173" s="166">
        <f si="66" t="shared"/>
      </c>
      <c r="K173" s="166">
        <f si="67" t="shared"/>
      </c>
      <c r="L173" s="166">
        <f si="68" t="shared"/>
      </c>
      <c r="M173" s="240">
        <f si="72" t="shared"/>
      </c>
      <c r="N173" s="242">
        <f si="71" t="shared"/>
      </c>
      <c r="P173" s="122">
        <f si="59" t="shared"/>
      </c>
    </row>
    <row hidden="1" outlineLevel="1" r="174" spans="1:16" x14ac:dyDescent="0.15">
      <c r="A174" s="166">
        <f si="57" t="shared"/>
      </c>
      <c r="B174" s="166"/>
      <c r="C174" s="235">
        <f si="57" t="shared"/>
      </c>
      <c r="D174" s="240">
        <f si="69" t="shared"/>
      </c>
      <c r="E174" s="251">
        <f si="70" t="shared"/>
      </c>
      <c r="F174" s="241"/>
      <c r="G174" s="166">
        <f si="63" t="shared"/>
      </c>
      <c r="H174" s="166">
        <f si="64" t="shared"/>
      </c>
      <c r="I174" s="166">
        <f si="65" t="shared"/>
      </c>
      <c r="J174" s="166">
        <f si="66" t="shared"/>
      </c>
      <c r="K174" s="166">
        <f si="67" t="shared"/>
      </c>
      <c r="L174" s="166">
        <f si="68" t="shared"/>
      </c>
      <c r="M174" s="240">
        <f si="72" t="shared"/>
      </c>
      <c r="N174" s="242">
        <f si="71" t="shared"/>
      </c>
      <c r="P174" s="122">
        <f si="59" t="shared"/>
      </c>
    </row>
    <row hidden="1" outlineLevel="1" r="175" spans="1:16" x14ac:dyDescent="0.15">
      <c r="A175" s="166">
        <f si="57" t="shared"/>
      </c>
      <c r="B175" s="166"/>
      <c r="C175" s="235">
        <f si="57" t="shared"/>
      </c>
      <c r="D175" s="240">
        <f si="69" t="shared"/>
      </c>
      <c r="E175" s="251">
        <f si="70" t="shared"/>
      </c>
      <c r="F175" s="241"/>
      <c r="G175" s="166">
        <f si="63" t="shared"/>
      </c>
      <c r="H175" s="166">
        <f si="64" t="shared"/>
      </c>
      <c r="I175" s="166">
        <f si="65" t="shared"/>
      </c>
      <c r="J175" s="166">
        <f si="66" t="shared"/>
      </c>
      <c r="K175" s="166">
        <f si="67" t="shared"/>
      </c>
      <c r="L175" s="166">
        <f si="68" t="shared"/>
      </c>
      <c r="M175" s="240">
        <f si="72" t="shared"/>
      </c>
      <c r="N175" s="242">
        <f si="71" t="shared"/>
      </c>
      <c r="P175" s="122">
        <f si="59" t="shared"/>
      </c>
    </row>
    <row hidden="1" outlineLevel="1" r="176" spans="1:16" x14ac:dyDescent="0.15">
      <c r="A176" s="166">
        <f si="57" t="shared"/>
      </c>
      <c r="B176" s="166"/>
      <c r="C176" s="235">
        <f si="57" t="shared"/>
      </c>
      <c r="D176" s="240">
        <f si="69" t="shared"/>
      </c>
      <c r="E176" s="251">
        <f si="70" t="shared"/>
      </c>
      <c r="F176" s="241"/>
      <c r="G176" s="166">
        <f si="63" t="shared"/>
      </c>
      <c r="H176" s="166">
        <f si="64" t="shared"/>
      </c>
      <c r="I176" s="166">
        <f si="65" t="shared"/>
      </c>
      <c r="J176" s="166">
        <f si="66" t="shared"/>
      </c>
      <c r="K176" s="166">
        <f si="67" t="shared"/>
      </c>
      <c r="L176" s="166">
        <f si="68" t="shared"/>
      </c>
      <c r="M176" s="240">
        <f si="72" t="shared"/>
      </c>
      <c r="N176" s="242">
        <f si="71" t="shared"/>
      </c>
      <c r="P176" s="122">
        <f si="59" t="shared"/>
      </c>
    </row>
    <row hidden="1" outlineLevel="1" r="177" spans="1:16" x14ac:dyDescent="0.15">
      <c r="A177" s="166">
        <f si="57" t="shared"/>
      </c>
      <c r="B177" s="166"/>
      <c r="C177" s="235">
        <f si="57" t="shared"/>
      </c>
      <c r="D177" s="240">
        <f si="69" t="shared"/>
      </c>
      <c r="E177" s="251">
        <f si="70" t="shared"/>
      </c>
      <c r="F177" s="241"/>
      <c r="G177" s="166">
        <f si="63" t="shared"/>
      </c>
      <c r="H177" s="166">
        <f si="64" t="shared"/>
      </c>
      <c r="I177" s="166">
        <f si="65" t="shared"/>
      </c>
      <c r="J177" s="166">
        <f si="66" t="shared"/>
      </c>
      <c r="K177" s="166">
        <f si="67" t="shared"/>
      </c>
      <c r="L177" s="166">
        <f si="68" t="shared"/>
      </c>
      <c r="M177" s="240">
        <f si="72" t="shared"/>
      </c>
      <c r="N177" s="242">
        <f si="71" t="shared"/>
      </c>
      <c r="P177" s="122">
        <f si="59" t="shared"/>
      </c>
    </row>
    <row hidden="1" outlineLevel="1" r="178" spans="1:16" x14ac:dyDescent="0.15">
      <c r="A178" s="166">
        <f si="57" t="shared"/>
      </c>
      <c r="B178" s="166"/>
      <c r="C178" s="235">
        <f si="57" t="shared"/>
      </c>
      <c r="D178" s="240">
        <f si="69" t="shared"/>
      </c>
      <c r="E178" s="251">
        <f si="70" t="shared"/>
      </c>
      <c r="F178" s="241"/>
      <c r="G178" s="166">
        <f ref="G178:G183" si="73" t="shared">0*G143/100</f>
      </c>
      <c r="H178" s="166">
        <f ref="H178:H183" si="74" t="shared">1*H143/100</f>
      </c>
      <c r="I178" s="166">
        <f ref="I178:I183" si="75" t="shared">32*I143/100</f>
      </c>
      <c r="J178" s="166">
        <f ref="J178:J183" si="76" t="shared">243*J143/100</f>
      </c>
      <c r="K178" s="166">
        <f ref="K178:K183" si="77" t="shared">1024*K143/100</f>
      </c>
      <c r="L178" s="166">
        <f ref="L178:L183" si="78" t="shared">3125*L143/100</f>
      </c>
      <c r="M178" s="240">
        <f ref="M178:M183" si="79" t="shared">+F36</f>
      </c>
      <c r="N178" s="242">
        <f si="71" t="shared"/>
      </c>
      <c r="P178" s="122">
        <f si="59" t="shared"/>
      </c>
    </row>
    <row hidden="1" outlineLevel="1" r="179" spans="1:16" x14ac:dyDescent="0.15">
      <c r="A179" s="166">
        <f si="57" t="shared"/>
      </c>
      <c r="B179" s="166"/>
      <c r="C179" s="235">
        <f si="57" t="shared"/>
      </c>
      <c r="D179" s="240">
        <f si="69" t="shared"/>
      </c>
      <c r="E179" s="251">
        <f si="70" t="shared"/>
      </c>
      <c r="F179" s="241"/>
      <c r="G179" s="166">
        <f si="73" t="shared"/>
      </c>
      <c r="H179" s="166">
        <f si="74" t="shared"/>
      </c>
      <c r="I179" s="166">
        <f si="75" t="shared"/>
      </c>
      <c r="J179" s="166">
        <f si="76" t="shared"/>
      </c>
      <c r="K179" s="166">
        <f si="77" t="shared"/>
      </c>
      <c r="L179" s="166">
        <f si="78" t="shared"/>
      </c>
      <c r="M179" s="240">
        <f si="79" t="shared"/>
      </c>
      <c r="N179" s="242">
        <f si="71" t="shared"/>
      </c>
      <c r="P179" s="122">
        <f si="59" t="shared"/>
      </c>
    </row>
    <row hidden="1" outlineLevel="1" r="180" spans="1:16" x14ac:dyDescent="0.15">
      <c r="A180" s="166">
        <f si="57" t="shared"/>
      </c>
      <c r="B180" s="166"/>
      <c r="C180" s="235">
        <f si="57" t="shared"/>
      </c>
      <c r="D180" s="240">
        <f si="69" t="shared"/>
      </c>
      <c r="E180" s="251">
        <f si="70" t="shared"/>
      </c>
      <c r="F180" s="241"/>
      <c r="G180" s="166">
        <f si="73" t="shared"/>
      </c>
      <c r="H180" s="166">
        <f si="74" t="shared"/>
      </c>
      <c r="I180" s="166">
        <f si="75" t="shared"/>
      </c>
      <c r="J180" s="166">
        <f si="76" t="shared"/>
      </c>
      <c r="K180" s="166">
        <f si="77" t="shared"/>
      </c>
      <c r="L180" s="166">
        <f si="78" t="shared"/>
      </c>
      <c r="M180" s="240">
        <f si="79" t="shared"/>
      </c>
      <c r="N180" s="242">
        <f si="71" t="shared"/>
      </c>
      <c r="P180" s="122">
        <f si="59" t="shared"/>
      </c>
    </row>
    <row hidden="1" outlineLevel="1" r="181" spans="1:16" x14ac:dyDescent="0.15">
      <c r="A181" s="166">
        <f si="57" t="shared"/>
      </c>
      <c r="B181" s="166"/>
      <c r="C181" s="235">
        <f si="57" t="shared"/>
      </c>
      <c r="D181" s="240">
        <f si="69" t="shared"/>
      </c>
      <c r="E181" s="251">
        <f si="70" t="shared"/>
      </c>
      <c r="F181" s="241"/>
      <c r="G181" s="166">
        <f si="73" t="shared"/>
      </c>
      <c r="H181" s="166">
        <f si="74" t="shared"/>
      </c>
      <c r="I181" s="166">
        <f si="75" t="shared"/>
      </c>
      <c r="J181" s="166">
        <f si="76" t="shared"/>
      </c>
      <c r="K181" s="166">
        <f si="77" t="shared"/>
      </c>
      <c r="L181" s="166">
        <f si="78" t="shared"/>
      </c>
      <c r="M181" s="240">
        <f si="79" t="shared"/>
      </c>
      <c r="N181" s="242">
        <f si="71" t="shared"/>
      </c>
      <c r="P181" s="122">
        <f si="59" t="shared"/>
      </c>
    </row>
    <row hidden="1" outlineLevel="1" r="182" spans="1:16" x14ac:dyDescent="0.15">
      <c r="A182" s="166">
        <f si="57" t="shared"/>
      </c>
      <c r="B182" s="166"/>
      <c r="C182" s="235">
        <f si="57" t="shared"/>
      </c>
      <c r="D182" s="240">
        <f si="69" t="shared"/>
      </c>
      <c r="E182" s="251">
        <f si="70" t="shared"/>
      </c>
      <c r="F182" s="241"/>
      <c r="G182" s="166">
        <f si="73" t="shared"/>
      </c>
      <c r="H182" s="166">
        <f si="74" t="shared"/>
      </c>
      <c r="I182" s="166">
        <f si="75" t="shared"/>
      </c>
      <c r="J182" s="166">
        <f si="76" t="shared"/>
      </c>
      <c r="K182" s="166">
        <f si="77" t="shared"/>
      </c>
      <c r="L182" s="166">
        <f si="78" t="shared"/>
      </c>
      <c r="M182" s="240">
        <f si="79" t="shared"/>
      </c>
      <c r="N182" s="242">
        <f si="71" t="shared"/>
      </c>
      <c r="P182" s="122">
        <f si="59" t="shared"/>
      </c>
    </row>
    <row hidden="1" outlineLevel="1" r="183" spans="1:16" x14ac:dyDescent="0.15">
      <c r="A183" s="233">
        <f si="57" t="shared"/>
      </c>
      <c r="B183" s="233"/>
      <c r="C183" s="232">
        <f si="57" t="shared"/>
      </c>
      <c r="D183" s="243">
        <f si="69" t="shared"/>
      </c>
      <c r="E183" s="252">
        <f si="70" t="shared"/>
      </c>
      <c r="F183" s="244"/>
      <c r="G183" s="233">
        <f si="73" t="shared"/>
      </c>
      <c r="H183" s="233">
        <f si="74" t="shared"/>
      </c>
      <c r="I183" s="233">
        <f si="75" t="shared"/>
      </c>
      <c r="J183" s="233">
        <f si="76" t="shared"/>
      </c>
      <c r="K183" s="233">
        <f si="77" t="shared"/>
      </c>
      <c r="L183" s="233">
        <f si="78" t="shared"/>
      </c>
      <c r="M183" s="243">
        <f si="79" t="shared"/>
      </c>
      <c r="N183" s="245">
        <f si="71" t="shared"/>
      </c>
      <c r="P183" s="122">
        <f si="59" t="shared"/>
      </c>
    </row>
    <row hidden="1" outlineLevel="1" r="184" spans="1:16" x14ac:dyDescent="0.15">
      <c r="A184" s="137"/>
      <c r="B184" s="137"/>
      <c r="C184" s="207"/>
      <c r="D184" s="208"/>
      <c r="E184" s="209"/>
      <c r="F184" s="209"/>
      <c r="G184" s="137"/>
      <c r="H184" s="137"/>
      <c r="I184" s="137"/>
      <c r="J184" s="137"/>
      <c r="K184" s="137"/>
      <c r="L184" s="137"/>
      <c r="M184" s="208"/>
      <c r="N184" s="210"/>
      <c r="P184" s="122">
        <f>SUM(P157:P183)</f>
      </c>
    </row>
    <row collapsed="1" r="185" spans="1:16" x14ac:dyDescent="0.25"/>
    <row ht="22.5" r="186" spans="1:16" x14ac:dyDescent="0.25">
      <c r="C186" s="122" t="s">
        <v>461</v>
      </c>
      <c r="F186" s="142">
        <f>+P184</f>
      </c>
      <c r="J186" s="186"/>
      <c r="K186" s="187" t="s">
        <v>462</v>
      </c>
      <c r="L186" s="188"/>
      <c r="M186" s="189" t="s">
        <v>463</v>
      </c>
    </row>
    <row r="187" spans="1:16" x14ac:dyDescent="0.25">
      <c r="C187" s="122" t="s">
        <v>464</v>
      </c>
      <c r="F187" s="143">
        <f>MAX(N157:N183)</f>
      </c>
      <c r="J187" s="213">
        <v>0</v>
      </c>
      <c r="K187" s="214" t="s">
        <v>465</v>
      </c>
      <c r="L187" s="215"/>
      <c r="M187" s="216" t="s">
        <v>466</v>
      </c>
    </row>
    <row r="188" spans="1:16" x14ac:dyDescent="0.25">
      <c r="C188" s="122" t="s">
        <v>467</v>
      </c>
      <c r="F188" s="143">
        <f>SUM(N157:N183)</f>
      </c>
      <c r="J188" s="213">
        <v>1</v>
      </c>
      <c r="K188" s="214" t="s">
        <v>468</v>
      </c>
      <c r="L188" s="215"/>
      <c r="M188" s="216" t="s">
        <v>469</v>
      </c>
    </row>
    <row r="189" spans="1:16" x14ac:dyDescent="0.25">
      <c r="C189" s="122" t="s">
        <v>470</v>
      </c>
      <c r="F189" s="143">
        <f>+F188-F187</f>
      </c>
      <c r="J189" s="213">
        <v>2</v>
      </c>
      <c r="K189" s="214" t="s">
        <v>471</v>
      </c>
      <c r="L189" s="215"/>
      <c r="M189" s="216" t="s">
        <v>472</v>
      </c>
    </row>
    <row r="190" spans="1:16" x14ac:dyDescent="0.25">
      <c r="C190" s="122" t="s">
        <v>473</v>
      </c>
      <c r="F190" s="142">
        <f>+F189/(F187*(F186-1))</f>
      </c>
      <c r="J190" s="213">
        <v>3</v>
      </c>
      <c r="K190" s="214" t="s">
        <v>474</v>
      </c>
      <c r="L190" s="215"/>
      <c r="M190" s="216" t="s">
        <v>475</v>
      </c>
    </row>
    <row r="191" spans="1:16" x14ac:dyDescent="0.25">
      <c r="C191" s="190" t="s">
        <v>476</v>
      </c>
      <c r="D191" s="188"/>
      <c r="E191" s="188"/>
      <c r="F191" s="191">
        <f>+F187+F190</f>
      </c>
      <c r="J191" s="213">
        <v>4</v>
      </c>
      <c r="K191" s="214" t="s">
        <v>477</v>
      </c>
      <c r="L191" s="215"/>
      <c r="M191" s="216" t="s">
        <v>478</v>
      </c>
    </row>
    <row r="192" spans="1:16" x14ac:dyDescent="0.25">
      <c r="J192" s="213">
        <v>5</v>
      </c>
      <c r="K192" s="214" t="s">
        <v>479</v>
      </c>
      <c r="L192" s="215"/>
      <c r="M192" s="216" t="s">
        <v>480</v>
      </c>
    </row>
    <row r="193" spans="1:6" x14ac:dyDescent="0.2">
      <c r="A193" s="132"/>
      <c r="B193" s="445"/>
    </row>
    <row r="194" spans="1:6" x14ac:dyDescent="0.25">
      <c r="B194" s="122" t="s">
        <v>481</v>
      </c>
      <c r="F194" s="812" t="str">
        <f>+IF(F191&lt;1,"MUY BUENO",IF(F191&lt;2,"BUENO",IF(H192&lt;3,"REGULAR",IF(H192&lt;4,"MALO",IF(H192&lt;5,"MUY MALO","PÉSIMO")))))</f>
      </c>
    </row>
    <row r="199" spans="1:6" x14ac:dyDescent="0.25">
      <c r="F199" s="122">
        <f>+COUNTA(A157:A183)</f>
      </c>
    </row>
  </sheetData>
  <mergeCells count="62">
    <mergeCell ref="A155:A156"/>
    <mergeCell ref="C155:C156"/>
    <mergeCell ref="G155:L155"/>
    <mergeCell ref="A85:A86"/>
    <mergeCell ref="C85:C86"/>
    <mergeCell ref="D85:D86"/>
    <mergeCell ref="E85:E86"/>
    <mergeCell ref="G85:L85"/>
    <mergeCell ref="A120:A121"/>
    <mergeCell ref="C120:C121"/>
    <mergeCell ref="D120:D121"/>
    <mergeCell ref="E120:E121"/>
    <mergeCell ref="G120:L120"/>
    <mergeCell ref="D49:D50"/>
    <mergeCell ref="A10:A12"/>
    <mergeCell ref="D10:D12"/>
    <mergeCell ref="E49:E50"/>
    <mergeCell ref="G49:L49"/>
    <mergeCell ref="E10:E12"/>
    <mergeCell ref="A49:A50"/>
    <mergeCell ref="C49:C50"/>
    <mergeCell ref="B16:C16"/>
    <mergeCell ref="B17:C17"/>
    <mergeCell ref="B18:C18"/>
    <mergeCell ref="B19:C19"/>
    <mergeCell ref="B20:C20"/>
    <mergeCell ref="F10:F12"/>
    <mergeCell ref="J1:M1"/>
    <mergeCell ref="B14:C14"/>
    <mergeCell ref="B15:C15"/>
    <mergeCell ref="B10:C12"/>
    <mergeCell ref="C1:I1"/>
    <mergeCell ref="A1:B1"/>
    <mergeCell ref="A3:M3"/>
    <mergeCell ref="M13:M45"/>
    <mergeCell ref="M10:M12"/>
    <mergeCell ref="G10:L1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s>
  <phoneticPr fontId="62" type="noConversion"/>
  <printOptions horizontalCentered="1"/>
  <pageMargins bottom="0.74803149606299213" footer="0.31496062992125984" header="0.31496062992125984" left="0.31496062992125984" right="0.31496062992125984" top="0.74803149606299213"/>
  <pageSetup fitToWidth="0" orientation="portrait" paperSize="9" r:id="rId1" scale="68"/>
  <colBreaks count="1" manualBreakCount="1">
    <brk id="14" man="1" max="1048575"/>
  </colBreaks>
  <drawing r:id="rId2"/>
  <legacyDrawing r:id="rId3"/>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A1:V58"/>
  <sheetViews>
    <sheetView view="pageBreakPreview" workbookViewId="0" zoomScaleNormal="115" zoomScalePageLayoutView="70" zoomScaleSheetLayoutView="100">
      <selection activeCell="E17" sqref="E17"/>
    </sheetView>
  </sheetViews>
  <sheetFormatPr baseColWidth="10" defaultRowHeight="12.75" x14ac:dyDescent="0.25"/>
  <cols>
    <col customWidth="1" max="1" min="1" style="122" width="1.7109375"/>
    <col customWidth="1" max="3" min="2" style="122" width="9.7109375"/>
    <col customWidth="1" max="4" min="4" style="122" width="42.5703125"/>
    <col customWidth="1" max="9" min="5" style="122" width="12.7109375"/>
    <col customWidth="1" max="10" min="10" style="122" width="43.140625"/>
    <col max="256" min="11" style="122" width="11.42578125"/>
    <col customWidth="1" max="257" min="257" style="122" width="1.7109375"/>
    <col customWidth="1" max="259" min="258" style="122" width="9.7109375"/>
    <col customWidth="1" max="260" min="260" style="122" width="40.7109375"/>
    <col customWidth="1" max="265" min="261" style="122" width="12.7109375"/>
    <col customWidth="1" max="266" min="266" style="122" width="43.140625"/>
    <col max="512" min="267" style="122" width="11.42578125"/>
    <col customWidth="1" max="513" min="513" style="122" width="1.7109375"/>
    <col customWidth="1" max="515" min="514" style="122" width="9.7109375"/>
    <col customWidth="1" max="516" min="516" style="122" width="40.7109375"/>
    <col customWidth="1" max="521" min="517" style="122" width="12.7109375"/>
    <col customWidth="1" max="522" min="522" style="122" width="43.140625"/>
    <col max="768" min="523" style="122" width="11.42578125"/>
    <col customWidth="1" max="769" min="769" style="122" width="1.7109375"/>
    <col customWidth="1" max="771" min="770" style="122" width="9.7109375"/>
    <col customWidth="1" max="772" min="772" style="122" width="40.7109375"/>
    <col customWidth="1" max="777" min="773" style="122" width="12.7109375"/>
    <col customWidth="1" max="778" min="778" style="122" width="43.140625"/>
    <col max="1024" min="779" style="122" width="11.42578125"/>
    <col customWidth="1" max="1025" min="1025" style="122" width="1.7109375"/>
    <col customWidth="1" max="1027" min="1026" style="122" width="9.7109375"/>
    <col customWidth="1" max="1028" min="1028" style="122" width="40.7109375"/>
    <col customWidth="1" max="1033" min="1029" style="122" width="12.7109375"/>
    <col customWidth="1" max="1034" min="1034" style="122" width="43.140625"/>
    <col max="1280" min="1035" style="122" width="11.42578125"/>
    <col customWidth="1" max="1281" min="1281" style="122" width="1.7109375"/>
    <col customWidth="1" max="1283" min="1282" style="122" width="9.7109375"/>
    <col customWidth="1" max="1284" min="1284" style="122" width="40.7109375"/>
    <col customWidth="1" max="1289" min="1285" style="122" width="12.7109375"/>
    <col customWidth="1" max="1290" min="1290" style="122" width="43.140625"/>
    <col max="1536" min="1291" style="122" width="11.42578125"/>
    <col customWidth="1" max="1537" min="1537" style="122" width="1.7109375"/>
    <col customWidth="1" max="1539" min="1538" style="122" width="9.7109375"/>
    <col customWidth="1" max="1540" min="1540" style="122" width="40.7109375"/>
    <col customWidth="1" max="1545" min="1541" style="122" width="12.7109375"/>
    <col customWidth="1" max="1546" min="1546" style="122" width="43.140625"/>
    <col max="1792" min="1547" style="122" width="11.42578125"/>
    <col customWidth="1" max="1793" min="1793" style="122" width="1.7109375"/>
    <col customWidth="1" max="1795" min="1794" style="122" width="9.7109375"/>
    <col customWidth="1" max="1796" min="1796" style="122" width="40.7109375"/>
    <col customWidth="1" max="1801" min="1797" style="122" width="12.7109375"/>
    <col customWidth="1" max="1802" min="1802" style="122" width="43.140625"/>
    <col max="2048" min="1803" style="122" width="11.42578125"/>
    <col customWidth="1" max="2049" min="2049" style="122" width="1.7109375"/>
    <col customWidth="1" max="2051" min="2050" style="122" width="9.7109375"/>
    <col customWidth="1" max="2052" min="2052" style="122" width="40.7109375"/>
    <col customWidth="1" max="2057" min="2053" style="122" width="12.7109375"/>
    <col customWidth="1" max="2058" min="2058" style="122" width="43.140625"/>
    <col max="2304" min="2059" style="122" width="11.42578125"/>
    <col customWidth="1" max="2305" min="2305" style="122" width="1.7109375"/>
    <col customWidth="1" max="2307" min="2306" style="122" width="9.7109375"/>
    <col customWidth="1" max="2308" min="2308" style="122" width="40.7109375"/>
    <col customWidth="1" max="2313" min="2309" style="122" width="12.7109375"/>
    <col customWidth="1" max="2314" min="2314" style="122" width="43.140625"/>
    <col max="2560" min="2315" style="122" width="11.42578125"/>
    <col customWidth="1" max="2561" min="2561" style="122" width="1.7109375"/>
    <col customWidth="1" max="2563" min="2562" style="122" width="9.7109375"/>
    <col customWidth="1" max="2564" min="2564" style="122" width="40.7109375"/>
    <col customWidth="1" max="2569" min="2565" style="122" width="12.7109375"/>
    <col customWidth="1" max="2570" min="2570" style="122" width="43.140625"/>
    <col max="2816" min="2571" style="122" width="11.42578125"/>
    <col customWidth="1" max="2817" min="2817" style="122" width="1.7109375"/>
    <col customWidth="1" max="2819" min="2818" style="122" width="9.7109375"/>
    <col customWidth="1" max="2820" min="2820" style="122" width="40.7109375"/>
    <col customWidth="1" max="2825" min="2821" style="122" width="12.7109375"/>
    <col customWidth="1" max="2826" min="2826" style="122" width="43.140625"/>
    <col max="3072" min="2827" style="122" width="11.42578125"/>
    <col customWidth="1" max="3073" min="3073" style="122" width="1.7109375"/>
    <col customWidth="1" max="3075" min="3074" style="122" width="9.7109375"/>
    <col customWidth="1" max="3076" min="3076" style="122" width="40.7109375"/>
    <col customWidth="1" max="3081" min="3077" style="122" width="12.7109375"/>
    <col customWidth="1" max="3082" min="3082" style="122" width="43.140625"/>
    <col max="3328" min="3083" style="122" width="11.42578125"/>
    <col customWidth="1" max="3329" min="3329" style="122" width="1.7109375"/>
    <col customWidth="1" max="3331" min="3330" style="122" width="9.7109375"/>
    <col customWidth="1" max="3332" min="3332" style="122" width="40.7109375"/>
    <col customWidth="1" max="3337" min="3333" style="122" width="12.7109375"/>
    <col customWidth="1" max="3338" min="3338" style="122" width="43.140625"/>
    <col max="3584" min="3339" style="122" width="11.42578125"/>
    <col customWidth="1" max="3585" min="3585" style="122" width="1.7109375"/>
    <col customWidth="1" max="3587" min="3586" style="122" width="9.7109375"/>
    <col customWidth="1" max="3588" min="3588" style="122" width="40.7109375"/>
    <col customWidth="1" max="3593" min="3589" style="122" width="12.7109375"/>
    <col customWidth="1" max="3594" min="3594" style="122" width="43.140625"/>
    <col max="3840" min="3595" style="122" width="11.42578125"/>
    <col customWidth="1" max="3841" min="3841" style="122" width="1.7109375"/>
    <col customWidth="1" max="3843" min="3842" style="122" width="9.7109375"/>
    <col customWidth="1" max="3844" min="3844" style="122" width="40.7109375"/>
    <col customWidth="1" max="3849" min="3845" style="122" width="12.7109375"/>
    <col customWidth="1" max="3850" min="3850" style="122" width="43.140625"/>
    <col max="4096" min="3851" style="122" width="11.42578125"/>
    <col customWidth="1" max="4097" min="4097" style="122" width="1.7109375"/>
    <col customWidth="1" max="4099" min="4098" style="122" width="9.7109375"/>
    <col customWidth="1" max="4100" min="4100" style="122" width="40.7109375"/>
    <col customWidth="1" max="4105" min="4101" style="122" width="12.7109375"/>
    <col customWidth="1" max="4106" min="4106" style="122" width="43.140625"/>
    <col max="4352" min="4107" style="122" width="11.42578125"/>
    <col customWidth="1" max="4353" min="4353" style="122" width="1.7109375"/>
    <col customWidth="1" max="4355" min="4354" style="122" width="9.7109375"/>
    <col customWidth="1" max="4356" min="4356" style="122" width="40.7109375"/>
    <col customWidth="1" max="4361" min="4357" style="122" width="12.7109375"/>
    <col customWidth="1" max="4362" min="4362" style="122" width="43.140625"/>
    <col max="4608" min="4363" style="122" width="11.42578125"/>
    <col customWidth="1" max="4609" min="4609" style="122" width="1.7109375"/>
    <col customWidth="1" max="4611" min="4610" style="122" width="9.7109375"/>
    <col customWidth="1" max="4612" min="4612" style="122" width="40.7109375"/>
    <col customWidth="1" max="4617" min="4613" style="122" width="12.7109375"/>
    <col customWidth="1" max="4618" min="4618" style="122" width="43.140625"/>
    <col max="4864" min="4619" style="122" width="11.42578125"/>
    <col customWidth="1" max="4865" min="4865" style="122" width="1.7109375"/>
    <col customWidth="1" max="4867" min="4866" style="122" width="9.7109375"/>
    <col customWidth="1" max="4868" min="4868" style="122" width="40.7109375"/>
    <col customWidth="1" max="4873" min="4869" style="122" width="12.7109375"/>
    <col customWidth="1" max="4874" min="4874" style="122" width="43.140625"/>
    <col max="5120" min="4875" style="122" width="11.42578125"/>
    <col customWidth="1" max="5121" min="5121" style="122" width="1.7109375"/>
    <col customWidth="1" max="5123" min="5122" style="122" width="9.7109375"/>
    <col customWidth="1" max="5124" min="5124" style="122" width="40.7109375"/>
    <col customWidth="1" max="5129" min="5125" style="122" width="12.7109375"/>
    <col customWidth="1" max="5130" min="5130" style="122" width="43.140625"/>
    <col max="5376" min="5131" style="122" width="11.42578125"/>
    <col customWidth="1" max="5377" min="5377" style="122" width="1.7109375"/>
    <col customWidth="1" max="5379" min="5378" style="122" width="9.7109375"/>
    <col customWidth="1" max="5380" min="5380" style="122" width="40.7109375"/>
    <col customWidth="1" max="5385" min="5381" style="122" width="12.7109375"/>
    <col customWidth="1" max="5386" min="5386" style="122" width="43.140625"/>
    <col max="5632" min="5387" style="122" width="11.42578125"/>
    <col customWidth="1" max="5633" min="5633" style="122" width="1.7109375"/>
    <col customWidth="1" max="5635" min="5634" style="122" width="9.7109375"/>
    <col customWidth="1" max="5636" min="5636" style="122" width="40.7109375"/>
    <col customWidth="1" max="5641" min="5637" style="122" width="12.7109375"/>
    <col customWidth="1" max="5642" min="5642" style="122" width="43.140625"/>
    <col max="5888" min="5643" style="122" width="11.42578125"/>
    <col customWidth="1" max="5889" min="5889" style="122" width="1.7109375"/>
    <col customWidth="1" max="5891" min="5890" style="122" width="9.7109375"/>
    <col customWidth="1" max="5892" min="5892" style="122" width="40.7109375"/>
    <col customWidth="1" max="5897" min="5893" style="122" width="12.7109375"/>
    <col customWidth="1" max="5898" min="5898" style="122" width="43.140625"/>
    <col max="6144" min="5899" style="122" width="11.42578125"/>
    <col customWidth="1" max="6145" min="6145" style="122" width="1.7109375"/>
    <col customWidth="1" max="6147" min="6146" style="122" width="9.7109375"/>
    <col customWidth="1" max="6148" min="6148" style="122" width="40.7109375"/>
    <col customWidth="1" max="6153" min="6149" style="122" width="12.7109375"/>
    <col customWidth="1" max="6154" min="6154" style="122" width="43.140625"/>
    <col max="6400" min="6155" style="122" width="11.42578125"/>
    <col customWidth="1" max="6401" min="6401" style="122" width="1.7109375"/>
    <col customWidth="1" max="6403" min="6402" style="122" width="9.7109375"/>
    <col customWidth="1" max="6404" min="6404" style="122" width="40.7109375"/>
    <col customWidth="1" max="6409" min="6405" style="122" width="12.7109375"/>
    <col customWidth="1" max="6410" min="6410" style="122" width="43.140625"/>
    <col max="6656" min="6411" style="122" width="11.42578125"/>
    <col customWidth="1" max="6657" min="6657" style="122" width="1.7109375"/>
    <col customWidth="1" max="6659" min="6658" style="122" width="9.7109375"/>
    <col customWidth="1" max="6660" min="6660" style="122" width="40.7109375"/>
    <col customWidth="1" max="6665" min="6661" style="122" width="12.7109375"/>
    <col customWidth="1" max="6666" min="6666" style="122" width="43.140625"/>
    <col max="6912" min="6667" style="122" width="11.42578125"/>
    <col customWidth="1" max="6913" min="6913" style="122" width="1.7109375"/>
    <col customWidth="1" max="6915" min="6914" style="122" width="9.7109375"/>
    <col customWidth="1" max="6916" min="6916" style="122" width="40.7109375"/>
    <col customWidth="1" max="6921" min="6917" style="122" width="12.7109375"/>
    <col customWidth="1" max="6922" min="6922" style="122" width="43.140625"/>
    <col max="7168" min="6923" style="122" width="11.42578125"/>
    <col customWidth="1" max="7169" min="7169" style="122" width="1.7109375"/>
    <col customWidth="1" max="7171" min="7170" style="122" width="9.7109375"/>
    <col customWidth="1" max="7172" min="7172" style="122" width="40.7109375"/>
    <col customWidth="1" max="7177" min="7173" style="122" width="12.7109375"/>
    <col customWidth="1" max="7178" min="7178" style="122" width="43.140625"/>
    <col max="7424" min="7179" style="122" width="11.42578125"/>
    <col customWidth="1" max="7425" min="7425" style="122" width="1.7109375"/>
    <col customWidth="1" max="7427" min="7426" style="122" width="9.7109375"/>
    <col customWidth="1" max="7428" min="7428" style="122" width="40.7109375"/>
    <col customWidth="1" max="7433" min="7429" style="122" width="12.7109375"/>
    <col customWidth="1" max="7434" min="7434" style="122" width="43.140625"/>
    <col max="7680" min="7435" style="122" width="11.42578125"/>
    <col customWidth="1" max="7681" min="7681" style="122" width="1.7109375"/>
    <col customWidth="1" max="7683" min="7682" style="122" width="9.7109375"/>
    <col customWidth="1" max="7684" min="7684" style="122" width="40.7109375"/>
    <col customWidth="1" max="7689" min="7685" style="122" width="12.7109375"/>
    <col customWidth="1" max="7690" min="7690" style="122" width="43.140625"/>
    <col max="7936" min="7691" style="122" width="11.42578125"/>
    <col customWidth="1" max="7937" min="7937" style="122" width="1.7109375"/>
    <col customWidth="1" max="7939" min="7938" style="122" width="9.7109375"/>
    <col customWidth="1" max="7940" min="7940" style="122" width="40.7109375"/>
    <col customWidth="1" max="7945" min="7941" style="122" width="12.7109375"/>
    <col customWidth="1" max="7946" min="7946" style="122" width="43.140625"/>
    <col max="8192" min="7947" style="122" width="11.42578125"/>
    <col customWidth="1" max="8193" min="8193" style="122" width="1.7109375"/>
    <col customWidth="1" max="8195" min="8194" style="122" width="9.7109375"/>
    <col customWidth="1" max="8196" min="8196" style="122" width="40.7109375"/>
    <col customWidth="1" max="8201" min="8197" style="122" width="12.7109375"/>
    <col customWidth="1" max="8202" min="8202" style="122" width="43.140625"/>
    <col max="8448" min="8203" style="122" width="11.42578125"/>
    <col customWidth="1" max="8449" min="8449" style="122" width="1.7109375"/>
    <col customWidth="1" max="8451" min="8450" style="122" width="9.7109375"/>
    <col customWidth="1" max="8452" min="8452" style="122" width="40.7109375"/>
    <col customWidth="1" max="8457" min="8453" style="122" width="12.7109375"/>
    <col customWidth="1" max="8458" min="8458" style="122" width="43.140625"/>
    <col max="8704" min="8459" style="122" width="11.42578125"/>
    <col customWidth="1" max="8705" min="8705" style="122" width="1.7109375"/>
    <col customWidth="1" max="8707" min="8706" style="122" width="9.7109375"/>
    <col customWidth="1" max="8708" min="8708" style="122" width="40.7109375"/>
    <col customWidth="1" max="8713" min="8709" style="122" width="12.7109375"/>
    <col customWidth="1" max="8714" min="8714" style="122" width="43.140625"/>
    <col max="8960" min="8715" style="122" width="11.42578125"/>
    <col customWidth="1" max="8961" min="8961" style="122" width="1.7109375"/>
    <col customWidth="1" max="8963" min="8962" style="122" width="9.7109375"/>
    <col customWidth="1" max="8964" min="8964" style="122" width="40.7109375"/>
    <col customWidth="1" max="8969" min="8965" style="122" width="12.7109375"/>
    <col customWidth="1" max="8970" min="8970" style="122" width="43.140625"/>
    <col max="9216" min="8971" style="122" width="11.42578125"/>
    <col customWidth="1" max="9217" min="9217" style="122" width="1.7109375"/>
    <col customWidth="1" max="9219" min="9218" style="122" width="9.7109375"/>
    <col customWidth="1" max="9220" min="9220" style="122" width="40.7109375"/>
    <col customWidth="1" max="9225" min="9221" style="122" width="12.7109375"/>
    <col customWidth="1" max="9226" min="9226" style="122" width="43.140625"/>
    <col max="9472" min="9227" style="122" width="11.42578125"/>
    <col customWidth="1" max="9473" min="9473" style="122" width="1.7109375"/>
    <col customWidth="1" max="9475" min="9474" style="122" width="9.7109375"/>
    <col customWidth="1" max="9476" min="9476" style="122" width="40.7109375"/>
    <col customWidth="1" max="9481" min="9477" style="122" width="12.7109375"/>
    <col customWidth="1" max="9482" min="9482" style="122" width="43.140625"/>
    <col max="9728" min="9483" style="122" width="11.42578125"/>
    <col customWidth="1" max="9729" min="9729" style="122" width="1.7109375"/>
    <col customWidth="1" max="9731" min="9730" style="122" width="9.7109375"/>
    <col customWidth="1" max="9732" min="9732" style="122" width="40.7109375"/>
    <col customWidth="1" max="9737" min="9733" style="122" width="12.7109375"/>
    <col customWidth="1" max="9738" min="9738" style="122" width="43.140625"/>
    <col max="9984" min="9739" style="122" width="11.42578125"/>
    <col customWidth="1" max="9985" min="9985" style="122" width="1.7109375"/>
    <col customWidth="1" max="9987" min="9986" style="122" width="9.7109375"/>
    <col customWidth="1" max="9988" min="9988" style="122" width="40.7109375"/>
    <col customWidth="1" max="9993" min="9989" style="122" width="12.7109375"/>
    <col customWidth="1" max="9994" min="9994" style="122" width="43.140625"/>
    <col max="10240" min="9995" style="122" width="11.42578125"/>
    <col customWidth="1" max="10241" min="10241" style="122" width="1.7109375"/>
    <col customWidth="1" max="10243" min="10242" style="122" width="9.7109375"/>
    <col customWidth="1" max="10244" min="10244" style="122" width="40.7109375"/>
    <col customWidth="1" max="10249" min="10245" style="122" width="12.7109375"/>
    <col customWidth="1" max="10250" min="10250" style="122" width="43.140625"/>
    <col max="10496" min="10251" style="122" width="11.42578125"/>
    <col customWidth="1" max="10497" min="10497" style="122" width="1.7109375"/>
    <col customWidth="1" max="10499" min="10498" style="122" width="9.7109375"/>
    <col customWidth="1" max="10500" min="10500" style="122" width="40.7109375"/>
    <col customWidth="1" max="10505" min="10501" style="122" width="12.7109375"/>
    <col customWidth="1" max="10506" min="10506" style="122" width="43.140625"/>
    <col max="10752" min="10507" style="122" width="11.42578125"/>
    <col customWidth="1" max="10753" min="10753" style="122" width="1.7109375"/>
    <col customWidth="1" max="10755" min="10754" style="122" width="9.7109375"/>
    <col customWidth="1" max="10756" min="10756" style="122" width="40.7109375"/>
    <col customWidth="1" max="10761" min="10757" style="122" width="12.7109375"/>
    <col customWidth="1" max="10762" min="10762" style="122" width="43.140625"/>
    <col max="11008" min="10763" style="122" width="11.42578125"/>
    <col customWidth="1" max="11009" min="11009" style="122" width="1.7109375"/>
    <col customWidth="1" max="11011" min="11010" style="122" width="9.7109375"/>
    <col customWidth="1" max="11012" min="11012" style="122" width="40.7109375"/>
    <col customWidth="1" max="11017" min="11013" style="122" width="12.7109375"/>
    <col customWidth="1" max="11018" min="11018" style="122" width="43.140625"/>
    <col max="11264" min="11019" style="122" width="11.42578125"/>
    <col customWidth="1" max="11265" min="11265" style="122" width="1.7109375"/>
    <col customWidth="1" max="11267" min="11266" style="122" width="9.7109375"/>
    <col customWidth="1" max="11268" min="11268" style="122" width="40.7109375"/>
    <col customWidth="1" max="11273" min="11269" style="122" width="12.7109375"/>
    <col customWidth="1" max="11274" min="11274" style="122" width="43.140625"/>
    <col max="11520" min="11275" style="122" width="11.42578125"/>
    <col customWidth="1" max="11521" min="11521" style="122" width="1.7109375"/>
    <col customWidth="1" max="11523" min="11522" style="122" width="9.7109375"/>
    <col customWidth="1" max="11524" min="11524" style="122" width="40.7109375"/>
    <col customWidth="1" max="11529" min="11525" style="122" width="12.7109375"/>
    <col customWidth="1" max="11530" min="11530" style="122" width="43.140625"/>
    <col max="11776" min="11531" style="122" width="11.42578125"/>
    <col customWidth="1" max="11777" min="11777" style="122" width="1.7109375"/>
    <col customWidth="1" max="11779" min="11778" style="122" width="9.7109375"/>
    <col customWidth="1" max="11780" min="11780" style="122" width="40.7109375"/>
    <col customWidth="1" max="11785" min="11781" style="122" width="12.7109375"/>
    <col customWidth="1" max="11786" min="11786" style="122" width="43.140625"/>
    <col max="12032" min="11787" style="122" width="11.42578125"/>
    <col customWidth="1" max="12033" min="12033" style="122" width="1.7109375"/>
    <col customWidth="1" max="12035" min="12034" style="122" width="9.7109375"/>
    <col customWidth="1" max="12036" min="12036" style="122" width="40.7109375"/>
    <col customWidth="1" max="12041" min="12037" style="122" width="12.7109375"/>
    <col customWidth="1" max="12042" min="12042" style="122" width="43.140625"/>
    <col max="12288" min="12043" style="122" width="11.42578125"/>
    <col customWidth="1" max="12289" min="12289" style="122" width="1.7109375"/>
    <col customWidth="1" max="12291" min="12290" style="122" width="9.7109375"/>
    <col customWidth="1" max="12292" min="12292" style="122" width="40.7109375"/>
    <col customWidth="1" max="12297" min="12293" style="122" width="12.7109375"/>
    <col customWidth="1" max="12298" min="12298" style="122" width="43.140625"/>
    <col max="12544" min="12299" style="122" width="11.42578125"/>
    <col customWidth="1" max="12545" min="12545" style="122" width="1.7109375"/>
    <col customWidth="1" max="12547" min="12546" style="122" width="9.7109375"/>
    <col customWidth="1" max="12548" min="12548" style="122" width="40.7109375"/>
    <col customWidth="1" max="12553" min="12549" style="122" width="12.7109375"/>
    <col customWidth="1" max="12554" min="12554" style="122" width="43.140625"/>
    <col max="12800" min="12555" style="122" width="11.42578125"/>
    <col customWidth="1" max="12801" min="12801" style="122" width="1.7109375"/>
    <col customWidth="1" max="12803" min="12802" style="122" width="9.7109375"/>
    <col customWidth="1" max="12804" min="12804" style="122" width="40.7109375"/>
    <col customWidth="1" max="12809" min="12805" style="122" width="12.7109375"/>
    <col customWidth="1" max="12810" min="12810" style="122" width="43.140625"/>
    <col max="13056" min="12811" style="122" width="11.42578125"/>
    <col customWidth="1" max="13057" min="13057" style="122" width="1.7109375"/>
    <col customWidth="1" max="13059" min="13058" style="122" width="9.7109375"/>
    <col customWidth="1" max="13060" min="13060" style="122" width="40.7109375"/>
    <col customWidth="1" max="13065" min="13061" style="122" width="12.7109375"/>
    <col customWidth="1" max="13066" min="13066" style="122" width="43.140625"/>
    <col max="13312" min="13067" style="122" width="11.42578125"/>
    <col customWidth="1" max="13313" min="13313" style="122" width="1.7109375"/>
    <col customWidth="1" max="13315" min="13314" style="122" width="9.7109375"/>
    <col customWidth="1" max="13316" min="13316" style="122" width="40.7109375"/>
    <col customWidth="1" max="13321" min="13317" style="122" width="12.7109375"/>
    <col customWidth="1" max="13322" min="13322" style="122" width="43.140625"/>
    <col max="13568" min="13323" style="122" width="11.42578125"/>
    <col customWidth="1" max="13569" min="13569" style="122" width="1.7109375"/>
    <col customWidth="1" max="13571" min="13570" style="122" width="9.7109375"/>
    <col customWidth="1" max="13572" min="13572" style="122" width="40.7109375"/>
    <col customWidth="1" max="13577" min="13573" style="122" width="12.7109375"/>
    <col customWidth="1" max="13578" min="13578" style="122" width="43.140625"/>
    <col max="13824" min="13579" style="122" width="11.42578125"/>
    <col customWidth="1" max="13825" min="13825" style="122" width="1.7109375"/>
    <col customWidth="1" max="13827" min="13826" style="122" width="9.7109375"/>
    <col customWidth="1" max="13828" min="13828" style="122" width="40.7109375"/>
    <col customWidth="1" max="13833" min="13829" style="122" width="12.7109375"/>
    <col customWidth="1" max="13834" min="13834" style="122" width="43.140625"/>
    <col max="14080" min="13835" style="122" width="11.42578125"/>
    <col customWidth="1" max="14081" min="14081" style="122" width="1.7109375"/>
    <col customWidth="1" max="14083" min="14082" style="122" width="9.7109375"/>
    <col customWidth="1" max="14084" min="14084" style="122" width="40.7109375"/>
    <col customWidth="1" max="14089" min="14085" style="122" width="12.7109375"/>
    <col customWidth="1" max="14090" min="14090" style="122" width="43.140625"/>
    <col max="14336" min="14091" style="122" width="11.42578125"/>
    <col customWidth="1" max="14337" min="14337" style="122" width="1.7109375"/>
    <col customWidth="1" max="14339" min="14338" style="122" width="9.7109375"/>
    <col customWidth="1" max="14340" min="14340" style="122" width="40.7109375"/>
    <col customWidth="1" max="14345" min="14341" style="122" width="12.7109375"/>
    <col customWidth="1" max="14346" min="14346" style="122" width="43.140625"/>
    <col max="14592" min="14347" style="122" width="11.42578125"/>
    <col customWidth="1" max="14593" min="14593" style="122" width="1.7109375"/>
    <col customWidth="1" max="14595" min="14594" style="122" width="9.7109375"/>
    <col customWidth="1" max="14596" min="14596" style="122" width="40.7109375"/>
    <col customWidth="1" max="14601" min="14597" style="122" width="12.7109375"/>
    <col customWidth="1" max="14602" min="14602" style="122" width="43.140625"/>
    <col max="14848" min="14603" style="122" width="11.42578125"/>
    <col customWidth="1" max="14849" min="14849" style="122" width="1.7109375"/>
    <col customWidth="1" max="14851" min="14850" style="122" width="9.7109375"/>
    <col customWidth="1" max="14852" min="14852" style="122" width="40.7109375"/>
    <col customWidth="1" max="14857" min="14853" style="122" width="12.7109375"/>
    <col customWidth="1" max="14858" min="14858" style="122" width="43.140625"/>
    <col max="15104" min="14859" style="122" width="11.42578125"/>
    <col customWidth="1" max="15105" min="15105" style="122" width="1.7109375"/>
    <col customWidth="1" max="15107" min="15106" style="122" width="9.7109375"/>
    <col customWidth="1" max="15108" min="15108" style="122" width="40.7109375"/>
    <col customWidth="1" max="15113" min="15109" style="122" width="12.7109375"/>
    <col customWidth="1" max="15114" min="15114" style="122" width="43.140625"/>
    <col max="15360" min="15115" style="122" width="11.42578125"/>
    <col customWidth="1" max="15361" min="15361" style="122" width="1.7109375"/>
    <col customWidth="1" max="15363" min="15362" style="122" width="9.7109375"/>
    <col customWidth="1" max="15364" min="15364" style="122" width="40.7109375"/>
    <col customWidth="1" max="15369" min="15365" style="122" width="12.7109375"/>
    <col customWidth="1" max="15370" min="15370" style="122" width="43.140625"/>
    <col max="15616" min="15371" style="122" width="11.42578125"/>
    <col customWidth="1" max="15617" min="15617" style="122" width="1.7109375"/>
    <col customWidth="1" max="15619" min="15618" style="122" width="9.7109375"/>
    <col customWidth="1" max="15620" min="15620" style="122" width="40.7109375"/>
    <col customWidth="1" max="15625" min="15621" style="122" width="12.7109375"/>
    <col customWidth="1" max="15626" min="15626" style="122" width="43.140625"/>
    <col max="15872" min="15627" style="122" width="11.42578125"/>
    <col customWidth="1" max="15873" min="15873" style="122" width="1.7109375"/>
    <col customWidth="1" max="15875" min="15874" style="122" width="9.7109375"/>
    <col customWidth="1" max="15876" min="15876" style="122" width="40.7109375"/>
    <col customWidth="1" max="15881" min="15877" style="122" width="12.7109375"/>
    <col customWidth="1" max="15882" min="15882" style="122" width="43.140625"/>
    <col max="16128" min="15883" style="122" width="11.42578125"/>
    <col customWidth="1" max="16129" min="16129" style="122" width="1.7109375"/>
    <col customWidth="1" max="16131" min="16130" style="122" width="9.7109375"/>
    <col customWidth="1" max="16132" min="16132" style="122" width="40.7109375"/>
    <col customWidth="1" max="16137" min="16133" style="122" width="12.7109375"/>
    <col customWidth="1" max="16138" min="16138" style="122" width="43.140625"/>
    <col max="16384" min="16139" style="122" width="11.42578125"/>
  </cols>
  <sheetData>
    <row customFormat="1" ht="18" r="1" s="60" spans="1:22" x14ac:dyDescent="0.25">
      <c r="A1" s="719"/>
      <c r="B1" s="720"/>
      <c r="C1" s="720"/>
      <c r="D1" s="725" t="s">
        <v>0</v>
      </c>
      <c r="E1" s="726"/>
      <c r="F1" s="727"/>
      <c r="G1" s="719"/>
      <c r="H1" s="720"/>
      <c r="I1" s="734"/>
      <c r="J1" s="404"/>
      <c r="K1" s="404"/>
      <c r="L1" s="404"/>
      <c r="M1" s="404"/>
      <c r="N1" s="404"/>
      <c r="O1" s="404"/>
      <c r="P1" s="404"/>
      <c r="Q1" s="405"/>
      <c r="R1" s="405"/>
      <c r="S1" s="405"/>
      <c r="T1" s="405"/>
      <c r="U1" s="405"/>
      <c r="V1" s="405"/>
    </row>
    <row customFormat="1" ht="18" r="2" s="60" spans="1:22" x14ac:dyDescent="0.25">
      <c r="A2" s="721"/>
      <c r="B2" s="722"/>
      <c r="C2" s="722"/>
      <c r="D2" s="728"/>
      <c r="E2" s="729"/>
      <c r="F2" s="730"/>
      <c r="G2" s="721"/>
      <c r="H2" s="722"/>
      <c r="I2" s="735"/>
      <c r="J2" s="404"/>
      <c r="K2" s="404"/>
      <c r="L2" s="404"/>
      <c r="M2" s="404"/>
      <c r="N2" s="404"/>
      <c r="O2" s="404"/>
      <c r="P2" s="404"/>
      <c r="Q2" s="405"/>
    </row>
    <row customFormat="1" customHeight="1" ht="23.25" r="3" s="60" spans="1:22" thickBot="1" x14ac:dyDescent="0.35">
      <c r="A3" s="723"/>
      <c r="B3" s="724"/>
      <c r="C3" s="724"/>
      <c r="D3" s="731"/>
      <c r="E3" s="732"/>
      <c r="F3" s="733"/>
      <c r="G3" s="723"/>
      <c r="H3" s="724"/>
      <c r="I3" s="736"/>
      <c r="J3" s="406"/>
      <c r="K3" s="406"/>
      <c r="L3" s="406"/>
      <c r="M3" s="406"/>
      <c r="N3" s="406"/>
      <c r="O3" s="407"/>
      <c r="Q3" s="2"/>
    </row>
    <row customFormat="1" customHeight="1" ht="27" r="4" s="60" spans="1:22" x14ac:dyDescent="0.2">
      <c r="B4" s="765" t="s">
        <v>1</v>
      </c>
      <c r="C4" s="765"/>
      <c r="D4" s="765"/>
      <c r="E4" s="765"/>
      <c r="F4" s="765"/>
      <c r="G4" s="765"/>
      <c r="H4" s="765"/>
      <c r="I4" s="765"/>
      <c r="J4" s="408"/>
      <c r="K4" s="408"/>
      <c r="L4" s="408"/>
      <c r="M4" s="408"/>
      <c r="N4" s="408"/>
      <c r="O4" s="409"/>
      <c r="Q4" s="408"/>
    </row>
    <row ht="13.5" r="5" spans="1:22" thickBot="1" x14ac:dyDescent="0.3"/>
    <row ht="16.5" r="6" spans="1:22" thickTop="1" x14ac:dyDescent="0.25">
      <c r="B6" s="766" t="s">
        <v>482</v>
      </c>
      <c r="C6" s="767"/>
      <c r="D6" s="767"/>
      <c r="E6" s="767"/>
      <c r="F6" s="768"/>
      <c r="G6" s="410"/>
      <c r="H6" s="410"/>
      <c r="I6" s="410"/>
      <c r="J6" s="410"/>
    </row>
    <row ht="16.5" r="7" spans="1:22" thickBot="1" x14ac:dyDescent="0.3">
      <c r="B7" s="769"/>
      <c r="C7" s="770"/>
      <c r="D7" s="770"/>
      <c r="E7" s="770"/>
      <c r="F7" s="771"/>
      <c r="G7" s="410"/>
      <c r="H7" s="410"/>
      <c r="I7" s="410"/>
      <c r="J7" s="410"/>
    </row>
    <row ht="13.5" r="8" spans="1:22" thickTop="1" x14ac:dyDescent="0.25"/>
    <row ht="15.75" r="9" spans="1:22" x14ac:dyDescent="0.25">
      <c r="B9" s="370"/>
      <c r="C9" s="772" t="s">
        <v>483</v>
      </c>
      <c r="D9" s="773"/>
      <c r="G9" s="411"/>
      <c r="I9" s="123"/>
    </row>
    <row ht="15.75" r="10" spans="1:22" x14ac:dyDescent="0.25">
      <c r="B10" s="412"/>
      <c r="C10" s="774"/>
      <c r="D10" s="775"/>
      <c r="E10" s="413"/>
      <c r="F10" s="413"/>
      <c r="G10" s="413"/>
      <c r="H10" s="169"/>
      <c r="I10" s="414"/>
    </row>
    <row r="11" spans="1:22" x14ac:dyDescent="0.25">
      <c r="B11" s="144"/>
      <c r="I11" s="415"/>
    </row>
    <row r="12" spans="1:22" x14ac:dyDescent="0.2">
      <c r="B12" s="416" t="s">
        <v>484</v>
      </c>
      <c r="C12" s="60"/>
      <c r="D12" s="60" t="str">
        <f>+Hoja3!C11</f>
      </c>
      <c r="E12" s="60"/>
      <c r="I12" s="417"/>
    </row>
    <row r="13" spans="1:22" x14ac:dyDescent="0.2">
      <c r="B13" s="416" t="s">
        <v>421</v>
      </c>
      <c r="C13" s="60"/>
      <c r="D13" s="60">
        <f>+Hoja3!C7</f>
      </c>
      <c r="E13" s="60"/>
      <c r="I13" s="417"/>
    </row>
    <row r="14" spans="1:22" x14ac:dyDescent="0.2">
      <c r="B14" s="416" t="s">
        <v>422</v>
      </c>
      <c r="C14" s="60"/>
      <c r="D14" s="418">
        <f>+Hoja3!C10</f>
      </c>
      <c r="E14" s="418"/>
      <c r="I14" s="419"/>
    </row>
    <row r="15" spans="1:22" x14ac:dyDescent="0.2">
      <c r="B15" s="416"/>
      <c r="C15" s="60"/>
      <c r="D15" s="60"/>
      <c r="E15" s="60"/>
      <c r="I15" s="419"/>
    </row>
    <row r="16" spans="1:22" x14ac:dyDescent="0.25">
      <c r="B16" s="420"/>
      <c r="I16" s="421"/>
    </row>
    <row r="17" spans="2:9" x14ac:dyDescent="0.25">
      <c r="B17" s="762" t="s">
        <v>448</v>
      </c>
      <c r="C17" s="763"/>
      <c r="D17" s="764"/>
      <c r="E17" s="479"/>
      <c r="F17" s="763" t="s">
        <v>485</v>
      </c>
      <c r="G17" s="763"/>
      <c r="H17" s="763"/>
      <c r="I17" s="764"/>
    </row>
    <row r="18" spans="2:9" x14ac:dyDescent="0.25">
      <c r="B18" s="737" t="s">
        <v>486</v>
      </c>
      <c r="C18" s="737"/>
      <c r="D18" s="737"/>
      <c r="E18" s="737"/>
      <c r="F18" s="737"/>
      <c r="G18" s="737"/>
      <c r="H18" s="737"/>
      <c r="I18" s="737"/>
    </row>
    <row customHeight="1" ht="5.25" r="19" spans="2:9" x14ac:dyDescent="0.25">
      <c r="B19" s="744" t="str">
        <f>_xlfn.CONCAT("De acuerdo a la evaluación realizada al ",'A-D.- FICHA'!J10:L10," y a los terminos de referencia (Gestión y relevamiento de Puentes); de ser necesario, corresponde realizar acciones normativas.")</f>
      </c>
      <c r="C19" s="745"/>
      <c r="D19" s="746"/>
      <c r="E19" s="744"/>
      <c r="F19" s="745"/>
      <c r="G19" s="745"/>
      <c r="H19" s="745"/>
      <c r="I19" s="746"/>
    </row>
    <row customHeight="1" ht="5.25" r="20" spans="2:9" x14ac:dyDescent="0.25">
      <c r="B20" s="747"/>
      <c r="C20" s="748"/>
      <c r="D20" s="749"/>
      <c r="E20" s="747"/>
      <c r="F20" s="748"/>
      <c r="G20" s="748"/>
      <c r="H20" s="748"/>
      <c r="I20" s="749"/>
    </row>
    <row customHeight="1" ht="5.25" r="21" spans="2:9" x14ac:dyDescent="0.25">
      <c r="B21" s="747"/>
      <c r="C21" s="748"/>
      <c r="D21" s="749"/>
      <c r="E21" s="747"/>
      <c r="F21" s="748"/>
      <c r="G21" s="748"/>
      <c r="H21" s="748"/>
      <c r="I21" s="749"/>
    </row>
    <row customHeight="1" ht="5.25" r="22" spans="2:9" x14ac:dyDescent="0.25">
      <c r="B22" s="747"/>
      <c r="C22" s="748"/>
      <c r="D22" s="749"/>
      <c r="E22" s="747"/>
      <c r="F22" s="748"/>
      <c r="G22" s="748"/>
      <c r="H22" s="748"/>
      <c r="I22" s="749"/>
    </row>
    <row customHeight="1" ht="5.25" r="23" spans="2:9" x14ac:dyDescent="0.25">
      <c r="B23" s="747"/>
      <c r="C23" s="748"/>
      <c r="D23" s="749"/>
      <c r="E23" s="747"/>
      <c r="F23" s="748"/>
      <c r="G23" s="748"/>
      <c r="H23" s="748"/>
      <c r="I23" s="749"/>
    </row>
    <row customHeight="1" ht="5.25" r="24" spans="2:9" x14ac:dyDescent="0.25">
      <c r="B24" s="747"/>
      <c r="C24" s="748"/>
      <c r="D24" s="749"/>
      <c r="E24" s="747"/>
      <c r="F24" s="748"/>
      <c r="G24" s="748"/>
      <c r="H24" s="748"/>
      <c r="I24" s="749"/>
    </row>
    <row customHeight="1" ht="5.25" r="25" spans="2:9" x14ac:dyDescent="0.25">
      <c r="B25" s="747"/>
      <c r="C25" s="748"/>
      <c r="D25" s="749"/>
      <c r="E25" s="747"/>
      <c r="F25" s="748"/>
      <c r="G25" s="748"/>
      <c r="H25" s="748"/>
      <c r="I25" s="749"/>
    </row>
    <row customHeight="1" ht="5.25" r="26" spans="2:9" x14ac:dyDescent="0.25">
      <c r="B26" s="747"/>
      <c r="C26" s="748"/>
      <c r="D26" s="749"/>
      <c r="E26" s="747"/>
      <c r="F26" s="748"/>
      <c r="G26" s="748"/>
      <c r="H26" s="748"/>
      <c r="I26" s="749"/>
    </row>
    <row customHeight="1" ht="5.25" r="27" spans="2:9" x14ac:dyDescent="0.25">
      <c r="B27" s="750"/>
      <c r="C27" s="751"/>
      <c r="D27" s="752"/>
      <c r="E27" s="750"/>
      <c r="F27" s="751"/>
      <c r="G27" s="751"/>
      <c r="H27" s="751"/>
      <c r="I27" s="752"/>
    </row>
    <row r="28" spans="2:9" x14ac:dyDescent="0.25">
      <c r="B28" s="737" t="s">
        <v>487</v>
      </c>
      <c r="C28" s="737"/>
      <c r="D28" s="737"/>
      <c r="E28" s="737"/>
      <c r="F28" s="737"/>
      <c r="G28" s="737"/>
      <c r="H28" s="737"/>
      <c r="I28" s="737"/>
    </row>
    <row customHeight="1" ht="5.25" r="29" spans="2:9" x14ac:dyDescent="0.25">
      <c r="B29" s="744" t="str">
        <f>+_xlfn.CONCAT("De acuerdo a la evaluación realizada al Puente ",'A-D.- FICHA'!J10:L10," y a los terminos de referencia (Gestión y Relevamiento de Puentes); de ser necesario, corresponde realizar acciones preventivas.")</f>
      </c>
      <c r="C29" s="745"/>
      <c r="D29" s="746"/>
      <c r="E29" s="744"/>
      <c r="F29" s="745"/>
      <c r="G29" s="745"/>
      <c r="H29" s="745"/>
      <c r="I29" s="746"/>
    </row>
    <row customHeight="1" ht="5.25" r="30" spans="2:9" x14ac:dyDescent="0.25">
      <c r="B30" s="747"/>
      <c r="C30" s="748"/>
      <c r="D30" s="749"/>
      <c r="E30" s="747"/>
      <c r="F30" s="748"/>
      <c r="G30" s="748"/>
      <c r="H30" s="748"/>
      <c r="I30" s="749"/>
    </row>
    <row customHeight="1" ht="5.25" r="31" spans="2:9" x14ac:dyDescent="0.25">
      <c r="B31" s="747"/>
      <c r="C31" s="748"/>
      <c r="D31" s="749"/>
      <c r="E31" s="747"/>
      <c r="F31" s="748"/>
      <c r="G31" s="748"/>
      <c r="H31" s="748"/>
      <c r="I31" s="749"/>
    </row>
    <row customHeight="1" ht="5.25" r="32" spans="2:9" x14ac:dyDescent="0.25">
      <c r="B32" s="747"/>
      <c r="C32" s="748"/>
      <c r="D32" s="749"/>
      <c r="E32" s="747"/>
      <c r="F32" s="748"/>
      <c r="G32" s="748"/>
      <c r="H32" s="748"/>
      <c r="I32" s="749"/>
    </row>
    <row customHeight="1" ht="5.25" r="33" spans="2:9" x14ac:dyDescent="0.25">
      <c r="B33" s="747"/>
      <c r="C33" s="748"/>
      <c r="D33" s="749"/>
      <c r="E33" s="747"/>
      <c r="F33" s="748"/>
      <c r="G33" s="748"/>
      <c r="H33" s="748"/>
      <c r="I33" s="749"/>
    </row>
    <row customHeight="1" ht="5.25" r="34" spans="2:9" x14ac:dyDescent="0.25">
      <c r="B34" s="747"/>
      <c r="C34" s="748"/>
      <c r="D34" s="749"/>
      <c r="E34" s="747"/>
      <c r="F34" s="748"/>
      <c r="G34" s="748"/>
      <c r="H34" s="748"/>
      <c r="I34" s="749"/>
    </row>
    <row customHeight="1" ht="5.25" r="35" spans="2:9" x14ac:dyDescent="0.25">
      <c r="B35" s="747"/>
      <c r="C35" s="748"/>
      <c r="D35" s="749"/>
      <c r="E35" s="747"/>
      <c r="F35" s="748"/>
      <c r="G35" s="748"/>
      <c r="H35" s="748"/>
      <c r="I35" s="749"/>
    </row>
    <row customHeight="1" ht="5.25" r="36" spans="2:9" x14ac:dyDescent="0.25">
      <c r="B36" s="747"/>
      <c r="C36" s="748"/>
      <c r="D36" s="749"/>
      <c r="E36" s="747"/>
      <c r="F36" s="748"/>
      <c r="G36" s="748"/>
      <c r="H36" s="748"/>
      <c r="I36" s="749"/>
    </row>
    <row customHeight="1" ht="5.25" r="37" spans="2:9" x14ac:dyDescent="0.25">
      <c r="B37" s="750"/>
      <c r="C37" s="751"/>
      <c r="D37" s="752"/>
      <c r="E37" s="750"/>
      <c r="F37" s="751"/>
      <c r="G37" s="751"/>
      <c r="H37" s="751"/>
      <c r="I37" s="752"/>
    </row>
    <row r="38" spans="2:9" x14ac:dyDescent="0.25">
      <c r="B38" s="737" t="s">
        <v>488</v>
      </c>
      <c r="C38" s="737"/>
      <c r="D38" s="737"/>
      <c r="E38" s="737"/>
      <c r="F38" s="737"/>
      <c r="G38" s="737"/>
      <c r="H38" s="737"/>
      <c r="I38" s="737"/>
    </row>
    <row customHeight="1" ht="22.5" r="39" spans="2:9" x14ac:dyDescent="0.25">
      <c r="B39" s="753" t="str">
        <f>_xlfn.CONCAT("De la inspeccion realizada podemos indicar las siguientes conclusiones:", "
La evaluación de la condición estadística del ",'A-D.- FICHA'!J10:L10, ", efectuada bajo la metodología SCAP señala que el puente se encuentra en la calificación ",'G.- CONDICION ESTADISTICA'!N12," requiriéndose realizar el mantenimiento rutinario a fin de mejorar e incrementar su vida útil, a continuacion detallamos las acciones a realizar.")</f>
      </c>
      <c r="C39" s="754"/>
      <c r="D39" s="755"/>
      <c r="E39" s="753" t="str">
        <f>_xlfn.CONCAT("De la inspección realizada podemos indicar las siguientes conclusiones:","
Realizar el mantenimiento periodico a fin de mejorar e incrementar la vida útil del ",'A-D.- FICHA'!J10:L10,", a continuacion detallamos las acciones a realizar.")</f>
      </c>
      <c r="F39" s="754"/>
      <c r="G39" s="754"/>
      <c r="H39" s="754"/>
      <c r="I39" s="755"/>
    </row>
    <row customHeight="1" ht="22.5" r="40" spans="2:9" x14ac:dyDescent="0.25">
      <c r="B40" s="756"/>
      <c r="C40" s="757"/>
      <c r="D40" s="758"/>
      <c r="E40" s="756"/>
      <c r="F40" s="757"/>
      <c r="G40" s="757"/>
      <c r="H40" s="757"/>
      <c r="I40" s="758"/>
    </row>
    <row customHeight="1" ht="22.5" r="41" spans="2:9" x14ac:dyDescent="0.25">
      <c r="B41" s="756"/>
      <c r="C41" s="757"/>
      <c r="D41" s="758"/>
      <c r="E41" s="756"/>
      <c r="F41" s="757"/>
      <c r="G41" s="757"/>
      <c r="H41" s="757"/>
      <c r="I41" s="758"/>
    </row>
    <row customHeight="1" ht="22.5" r="42" spans="2:9" x14ac:dyDescent="0.25">
      <c r="B42" s="756"/>
      <c r="C42" s="757"/>
      <c r="D42" s="758"/>
      <c r="E42" s="756"/>
      <c r="F42" s="757"/>
      <c r="G42" s="757"/>
      <c r="H42" s="757"/>
      <c r="I42" s="758"/>
    </row>
    <row customHeight="1" ht="22.5" r="43" spans="2:9" x14ac:dyDescent="0.25">
      <c r="B43" s="756"/>
      <c r="C43" s="757"/>
      <c r="D43" s="758"/>
      <c r="E43" s="756"/>
      <c r="F43" s="757"/>
      <c r="G43" s="757"/>
      <c r="H43" s="757"/>
      <c r="I43" s="758"/>
    </row>
    <row customHeight="1" ht="22.5" r="44" spans="2:9" x14ac:dyDescent="0.25">
      <c r="B44" s="756"/>
      <c r="C44" s="757"/>
      <c r="D44" s="758"/>
      <c r="E44" s="756"/>
      <c r="F44" s="757"/>
      <c r="G44" s="757"/>
      <c r="H44" s="757"/>
      <c r="I44" s="758"/>
    </row>
    <row customHeight="1" ht="22.5" r="45" spans="2:9" x14ac:dyDescent="0.25">
      <c r="B45" s="756"/>
      <c r="C45" s="757"/>
      <c r="D45" s="758"/>
      <c r="E45" s="756"/>
      <c r="F45" s="757"/>
      <c r="G45" s="757"/>
      <c r="H45" s="757"/>
      <c r="I45" s="758"/>
    </row>
    <row customHeight="1" ht="22.5" r="46" spans="2:9" x14ac:dyDescent="0.25">
      <c r="B46" s="756"/>
      <c r="C46" s="757"/>
      <c r="D46" s="758"/>
      <c r="E46" s="756"/>
      <c r="F46" s="757"/>
      <c r="G46" s="757"/>
      <c r="H46" s="757"/>
      <c r="I46" s="758"/>
    </row>
    <row customHeight="1" ht="22.5" r="47" spans="2:9" x14ac:dyDescent="0.25">
      <c r="B47" s="759"/>
      <c r="C47" s="760"/>
      <c r="D47" s="761"/>
      <c r="E47" s="759"/>
      <c r="F47" s="760"/>
      <c r="G47" s="760"/>
      <c r="H47" s="760"/>
      <c r="I47" s="761"/>
    </row>
    <row r="48" spans="2:9" x14ac:dyDescent="0.2">
      <c r="B48" s="422"/>
      <c r="C48" s="423"/>
      <c r="D48" s="423"/>
      <c r="E48" s="423"/>
      <c r="F48" s="423"/>
      <c r="G48" s="423"/>
      <c r="H48" s="423"/>
      <c r="I48" s="424"/>
    </row>
    <row r="49" spans="2:9" x14ac:dyDescent="0.25">
      <c r="B49" s="738"/>
      <c r="C49" s="739"/>
      <c r="D49" s="739"/>
      <c r="E49" s="739"/>
      <c r="F49" s="739"/>
      <c r="G49" s="739"/>
      <c r="H49" s="739"/>
      <c r="I49" s="740"/>
    </row>
    <row r="50" spans="2:9" x14ac:dyDescent="0.25">
      <c r="B50" s="738"/>
      <c r="C50" s="739"/>
      <c r="D50" s="739"/>
      <c r="E50" s="739"/>
      <c r="F50" s="739"/>
      <c r="G50" s="739"/>
      <c r="H50" s="739"/>
      <c r="I50" s="740"/>
    </row>
    <row r="51" spans="2:9" x14ac:dyDescent="0.25">
      <c r="B51" s="738"/>
      <c r="C51" s="739"/>
      <c r="D51" s="739"/>
      <c r="E51" s="739"/>
      <c r="F51" s="739"/>
      <c r="G51" s="739"/>
      <c r="H51" s="739"/>
      <c r="I51" s="740"/>
    </row>
    <row r="52" spans="2:9" x14ac:dyDescent="0.25">
      <c r="B52" s="738"/>
      <c r="C52" s="739"/>
      <c r="D52" s="739"/>
      <c r="E52" s="739"/>
      <c r="F52" s="739"/>
      <c r="G52" s="739"/>
      <c r="H52" s="739"/>
      <c r="I52" s="740"/>
    </row>
    <row r="53" spans="2:9" x14ac:dyDescent="0.25">
      <c r="B53" s="738"/>
      <c r="C53" s="739"/>
      <c r="D53" s="739"/>
      <c r="E53" s="739"/>
      <c r="F53" s="739"/>
      <c r="G53" s="739"/>
      <c r="H53" s="739"/>
      <c r="I53" s="740"/>
    </row>
    <row r="54" spans="2:9" x14ac:dyDescent="0.25">
      <c r="B54" s="741"/>
      <c r="C54" s="742"/>
      <c r="D54" s="742"/>
      <c r="E54" s="742"/>
      <c r="F54" s="742"/>
      <c r="G54" s="742"/>
      <c r="H54" s="742"/>
      <c r="I54" s="743"/>
    </row>
    <row r="55" spans="2:9" x14ac:dyDescent="0.2">
      <c r="B55" s="132"/>
      <c r="C55" s="132"/>
      <c r="D55" s="132"/>
      <c r="E55" s="132"/>
      <c r="F55" s="132"/>
      <c r="G55" s="132"/>
      <c r="H55" s="132"/>
    </row>
    <row r="56" spans="2:9" x14ac:dyDescent="0.2">
      <c r="B56" s="132" t="s">
        <v>489</v>
      </c>
      <c r="C56" s="132"/>
      <c r="D56" s="433">
        <f>'A-D.- FICHA'!N32</f>
      </c>
      <c r="E56" s="132"/>
      <c r="F56" s="132"/>
      <c r="G56" s="132"/>
      <c r="H56" s="132"/>
    </row>
    <row r="57" spans="2:9" x14ac:dyDescent="0.2">
      <c r="B57" s="132"/>
      <c r="C57" s="132"/>
      <c r="D57" s="132"/>
      <c r="E57" s="132"/>
      <c r="G57" s="480"/>
      <c r="H57" s="481"/>
      <c r="I57" s="482"/>
    </row>
    <row r="58" spans="2:9" x14ac:dyDescent="0.25">
      <c r="H58" s="138"/>
    </row>
  </sheetData>
  <mergeCells count="20">
    <mergeCell ref="F17:I17"/>
    <mergeCell ref="B4:I4"/>
    <mergeCell ref="B6:F7"/>
    <mergeCell ref="C9:D10"/>
    <mergeCell ref="A1:C3"/>
    <mergeCell ref="D1:F3"/>
    <mergeCell ref="G1:I3"/>
    <mergeCell ref="B38:I38"/>
    <mergeCell ref="B49:I54"/>
    <mergeCell ref="B18:I18"/>
    <mergeCell ref="B19:D27"/>
    <mergeCell ref="E19:I27"/>
    <mergeCell ref="B28:I28"/>
    <mergeCell ref="B29:D37"/>
    <mergeCell ref="E29:I37"/>
    <mergeCell ref="B39:D42"/>
    <mergeCell ref="E39:I42"/>
    <mergeCell ref="B43:D47"/>
    <mergeCell ref="E43:I47"/>
    <mergeCell ref="B17:D17"/>
  </mergeCells>
  <printOptions horizontalCentered="1"/>
  <pageMargins bottom="0.35433070866141736" footer="0.31496062992125984" header="0.31496062992125984" left="0.31496062992125984" right="0.31496062992125984" top="0.74803149606299213"/>
  <pageSetup fitToHeight="0" orientation="portrait" paperSize="9" r:id="rId1" scale="76"/>
  <drawing r:id="rId2"/>
</worksheet>
</file>

<file path=xl/worksheets/sheet7.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5" x14ac:dyDescent="0.25"/>
  <cols>
    <col customWidth="1" max="3" min="3" width="7.28515625"/>
    <col customWidth="1" max="4" min="4" width="56.42578125"/>
    <col customWidth="1" max="6" min="6" width="11.28515625"/>
    <col customWidth="1" max="7" min="7" width="13.28515625"/>
    <col customWidth="1" max="9" min="9" width="17.5703125"/>
    <col customWidth="1" max="10" min="10" width="9.85546875"/>
    <col bestFit="1" customWidth="1" max="12" min="11" width="25.7109375"/>
  </cols>
  <sheetData>
    <row customHeight="1" ht="27" r="1" spans="2:9" x14ac:dyDescent="0.25"/>
    <row customHeight="1" ht="15.75" r="2" spans="2:9" thickBot="1" x14ac:dyDescent="0.3"/>
    <row customHeight="1" ht="30.75" r="3" spans="2:9" x14ac:dyDescent="0.25">
      <c r="B3" s="776" t="s">
        <v>490</v>
      </c>
      <c r="C3" s="777"/>
      <c r="D3" s="777"/>
      <c r="E3" s="777"/>
      <c r="F3" s="778"/>
    </row>
    <row ht="39" r="4" spans="2:9" x14ac:dyDescent="0.25">
      <c r="B4" s="321" t="s">
        <v>491</v>
      </c>
      <c r="C4" s="321" t="s">
        <v>492</v>
      </c>
      <c r="D4" s="322">
        <v>1</v>
      </c>
      <c r="E4" s="321" t="s">
        <v>493</v>
      </c>
      <c r="F4" s="323" t="s">
        <v>494</v>
      </c>
      <c r="G4" s="324" t="s">
        <v>495</v>
      </c>
    </row>
    <row customHeight="1" ht="15" r="5" spans="2:9" x14ac:dyDescent="0.25">
      <c r="B5" s="76">
        <v>1</v>
      </c>
      <c r="C5" s="77">
        <v>101</v>
      </c>
      <c r="D5" s="78" t="s">
        <v>496</v>
      </c>
      <c r="E5" s="79" t="s">
        <v>497</v>
      </c>
      <c r="F5" s="80">
        <v>1</v>
      </c>
      <c r="G5" s="312" t="s">
        <v>498</v>
      </c>
    </row>
    <row r="6" spans="2:9" x14ac:dyDescent="0.25">
      <c r="B6" s="76">
        <f>1+B5</f>
      </c>
      <c r="C6" s="77">
        <v>102</v>
      </c>
      <c r="D6" s="78" t="s">
        <v>499</v>
      </c>
      <c r="E6" s="79" t="s">
        <v>497</v>
      </c>
      <c r="F6" s="80">
        <v>1</v>
      </c>
      <c r="G6" s="313" t="s">
        <v>498</v>
      </c>
      <c r="I6" t="s">
        <v>500</v>
      </c>
    </row>
    <row customHeight="1" ht="15" r="7" spans="2:9" x14ac:dyDescent="0.25">
      <c r="B7" s="76">
        <f>1+B6</f>
      </c>
      <c r="C7" s="81">
        <v>103</v>
      </c>
      <c r="D7" s="82" t="s">
        <v>501</v>
      </c>
      <c r="E7" s="83" t="s">
        <v>497</v>
      </c>
      <c r="F7" s="84">
        <v>0.6</v>
      </c>
      <c r="G7" s="313" t="s">
        <v>498</v>
      </c>
    </row>
    <row r="8" spans="2:9" x14ac:dyDescent="0.25">
      <c r="B8" s="76">
        <f>1+B7</f>
      </c>
      <c r="C8" s="81">
        <v>104</v>
      </c>
      <c r="D8" s="82" t="s">
        <v>502</v>
      </c>
      <c r="E8" s="83" t="s">
        <v>497</v>
      </c>
      <c r="F8" s="84">
        <v>0.6</v>
      </c>
      <c r="G8" s="313" t="s">
        <v>498</v>
      </c>
      <c r="I8" s="320"/>
    </row>
    <row r="9" spans="2:9" x14ac:dyDescent="0.25">
      <c r="B9" s="76">
        <f>1+B8</f>
      </c>
      <c r="C9" s="81">
        <v>105</v>
      </c>
      <c r="D9" s="82" t="s">
        <v>503</v>
      </c>
      <c r="E9" s="83" t="s">
        <v>497</v>
      </c>
      <c r="F9" s="84">
        <v>0.6</v>
      </c>
      <c r="G9" s="313" t="s">
        <v>498</v>
      </c>
    </row>
    <row r="10" spans="2:9" x14ac:dyDescent="0.25">
      <c r="B10" s="76">
        <f ref="B10:B73" si="0" t="shared">1+B9</f>
      </c>
      <c r="C10" s="81">
        <v>106</v>
      </c>
      <c r="D10" s="82" t="s">
        <v>504</v>
      </c>
      <c r="E10" s="83" t="s">
        <v>505</v>
      </c>
      <c r="F10" s="84">
        <v>0.6</v>
      </c>
      <c r="G10" s="313" t="s">
        <v>498</v>
      </c>
    </row>
    <row r="11" spans="2:9" x14ac:dyDescent="0.25">
      <c r="B11" s="76">
        <f si="0" t="shared"/>
      </c>
      <c r="C11" s="81">
        <v>107</v>
      </c>
      <c r="D11" s="82" t="s">
        <v>506</v>
      </c>
      <c r="E11" s="83" t="s">
        <v>507</v>
      </c>
      <c r="F11" s="84">
        <v>0.6</v>
      </c>
      <c r="G11" s="313" t="s">
        <v>498</v>
      </c>
    </row>
    <row r="12" spans="2:9" x14ac:dyDescent="0.25">
      <c r="B12" s="76">
        <f si="0" t="shared"/>
      </c>
      <c r="C12" s="81">
        <v>110</v>
      </c>
      <c r="D12" s="82" t="s">
        <v>508</v>
      </c>
      <c r="E12" s="83" t="s">
        <v>497</v>
      </c>
      <c r="F12" s="84">
        <v>1</v>
      </c>
      <c r="G12" s="313" t="s">
        <v>498</v>
      </c>
    </row>
    <row r="13" spans="2:9" x14ac:dyDescent="0.25">
      <c r="B13" s="76">
        <f si="0" t="shared"/>
      </c>
      <c r="C13" s="81">
        <v>111</v>
      </c>
      <c r="D13" s="82" t="s">
        <v>509</v>
      </c>
      <c r="E13" s="83" t="s">
        <v>497</v>
      </c>
      <c r="F13" s="84">
        <v>0.8</v>
      </c>
      <c r="G13" s="313" t="s">
        <v>498</v>
      </c>
    </row>
    <row r="14" spans="2:9" x14ac:dyDescent="0.25">
      <c r="B14" s="76">
        <f si="0" t="shared"/>
      </c>
      <c r="C14" s="81">
        <v>112</v>
      </c>
      <c r="D14" s="82" t="s">
        <v>510</v>
      </c>
      <c r="E14" s="83" t="s">
        <v>497</v>
      </c>
      <c r="F14" s="84">
        <v>1</v>
      </c>
      <c r="G14" s="313" t="s">
        <v>498</v>
      </c>
    </row>
    <row r="15" spans="2:9" x14ac:dyDescent="0.25">
      <c r="B15" s="76">
        <f si="0" t="shared"/>
      </c>
      <c r="C15" s="81">
        <v>113</v>
      </c>
      <c r="D15" s="82" t="s">
        <v>511</v>
      </c>
      <c r="E15" s="83" t="s">
        <v>497</v>
      </c>
      <c r="F15" s="84">
        <v>0.8</v>
      </c>
      <c r="G15" s="313" t="s">
        <v>498</v>
      </c>
    </row>
    <row r="16" spans="2:9" x14ac:dyDescent="0.25">
      <c r="B16" s="76">
        <f si="0" t="shared"/>
      </c>
      <c r="C16" s="81">
        <v>114</v>
      </c>
      <c r="D16" s="82" t="s">
        <v>512</v>
      </c>
      <c r="E16" s="83" t="s">
        <v>513</v>
      </c>
      <c r="F16" s="84">
        <v>1</v>
      </c>
      <c r="G16" s="313" t="s">
        <v>498</v>
      </c>
    </row>
    <row r="17" spans="2:7" x14ac:dyDescent="0.25">
      <c r="B17" s="76">
        <f si="0" t="shared"/>
      </c>
      <c r="C17" s="81">
        <v>115</v>
      </c>
      <c r="D17" s="82" t="s">
        <v>514</v>
      </c>
      <c r="E17" s="83" t="s">
        <v>513</v>
      </c>
      <c r="F17" s="84">
        <v>0.8</v>
      </c>
      <c r="G17" s="313" t="s">
        <v>498</v>
      </c>
    </row>
    <row r="18" spans="2:7" x14ac:dyDescent="0.25">
      <c r="B18" s="76">
        <f si="0" t="shared"/>
      </c>
      <c r="C18" s="81">
        <v>116</v>
      </c>
      <c r="D18" s="82" t="s">
        <v>515</v>
      </c>
      <c r="E18" s="83" t="s">
        <v>507</v>
      </c>
      <c r="F18" s="84">
        <v>1</v>
      </c>
      <c r="G18" s="313" t="s">
        <v>498</v>
      </c>
    </row>
    <row r="19" spans="2:7" x14ac:dyDescent="0.25">
      <c r="B19" s="76">
        <f si="0" t="shared"/>
      </c>
      <c r="C19" s="81">
        <v>117</v>
      </c>
      <c r="D19" s="82" t="s">
        <v>516</v>
      </c>
      <c r="E19" s="83" t="s">
        <v>513</v>
      </c>
      <c r="F19" s="84">
        <v>0.6</v>
      </c>
      <c r="G19" s="313" t="s">
        <v>498</v>
      </c>
    </row>
    <row r="20" spans="2:7" x14ac:dyDescent="0.25">
      <c r="B20" s="76">
        <f si="0" t="shared"/>
      </c>
      <c r="C20" s="85">
        <v>131</v>
      </c>
      <c r="D20" s="87" t="s">
        <v>517</v>
      </c>
      <c r="E20" s="88" t="s">
        <v>497</v>
      </c>
      <c r="F20" s="89">
        <v>1</v>
      </c>
      <c r="G20" s="313" t="s">
        <v>498</v>
      </c>
    </row>
    <row r="21" spans="2:7" x14ac:dyDescent="0.25">
      <c r="B21" s="76">
        <f si="0" t="shared"/>
      </c>
      <c r="C21" s="85">
        <v>132</v>
      </c>
      <c r="D21" s="87" t="s">
        <v>518</v>
      </c>
      <c r="E21" s="88" t="s">
        <v>497</v>
      </c>
      <c r="F21" s="89">
        <v>1</v>
      </c>
      <c r="G21" s="313" t="s">
        <v>498</v>
      </c>
    </row>
    <row r="22" spans="2:7" x14ac:dyDescent="0.25">
      <c r="B22" s="76">
        <f si="0" t="shared"/>
      </c>
      <c r="C22" s="85">
        <v>133</v>
      </c>
      <c r="D22" s="87" t="s">
        <v>519</v>
      </c>
      <c r="E22" s="88" t="s">
        <v>513</v>
      </c>
      <c r="F22" s="89">
        <v>1</v>
      </c>
      <c r="G22" s="313" t="s">
        <v>498</v>
      </c>
    </row>
    <row r="23" spans="2:7" x14ac:dyDescent="0.25">
      <c r="B23" s="76">
        <f si="0" t="shared"/>
      </c>
      <c r="C23" s="85">
        <v>134</v>
      </c>
      <c r="D23" s="87" t="s">
        <v>520</v>
      </c>
      <c r="E23" s="88" t="s">
        <v>497</v>
      </c>
      <c r="F23" s="89">
        <v>1</v>
      </c>
      <c r="G23" s="313" t="s">
        <v>498</v>
      </c>
    </row>
    <row r="24" spans="2:7" x14ac:dyDescent="0.25">
      <c r="B24" s="76">
        <f si="0" t="shared"/>
      </c>
      <c r="C24" s="85">
        <v>135</v>
      </c>
      <c r="D24" s="87" t="s">
        <v>521</v>
      </c>
      <c r="E24" s="88" t="s">
        <v>497</v>
      </c>
      <c r="F24" s="89">
        <v>1</v>
      </c>
      <c r="G24" s="313" t="s">
        <v>498</v>
      </c>
    </row>
    <row r="25" spans="2:7" x14ac:dyDescent="0.25">
      <c r="B25" s="76">
        <f si="0" t="shared"/>
      </c>
      <c r="C25" s="85">
        <v>136</v>
      </c>
      <c r="D25" s="87" t="s">
        <v>522</v>
      </c>
      <c r="E25" s="88" t="s">
        <v>497</v>
      </c>
      <c r="F25" s="89">
        <v>1</v>
      </c>
      <c r="G25" s="313" t="s">
        <v>498</v>
      </c>
    </row>
    <row r="26" spans="2:7" x14ac:dyDescent="0.25">
      <c r="B26" s="76">
        <f si="0" t="shared"/>
      </c>
      <c r="C26" s="85">
        <v>137</v>
      </c>
      <c r="D26" s="87" t="s">
        <v>516</v>
      </c>
      <c r="E26" s="88" t="s">
        <v>513</v>
      </c>
      <c r="F26" s="89">
        <v>1</v>
      </c>
      <c r="G26" s="313" t="s">
        <v>498</v>
      </c>
    </row>
    <row r="27" spans="2:7" x14ac:dyDescent="0.25">
      <c r="B27" s="76">
        <f si="0" t="shared"/>
      </c>
      <c r="C27" s="90">
        <v>145</v>
      </c>
      <c r="D27" s="92" t="s">
        <v>523</v>
      </c>
      <c r="E27" s="93" t="s">
        <v>497</v>
      </c>
      <c r="F27" s="94">
        <v>1</v>
      </c>
      <c r="G27" s="313" t="s">
        <v>498</v>
      </c>
    </row>
    <row r="28" spans="2:7" x14ac:dyDescent="0.25">
      <c r="B28" s="76">
        <f si="0" t="shared"/>
      </c>
      <c r="C28" s="90">
        <v>146</v>
      </c>
      <c r="D28" s="92" t="s">
        <v>524</v>
      </c>
      <c r="E28" s="93" t="s">
        <v>513</v>
      </c>
      <c r="F28" s="94">
        <v>1</v>
      </c>
      <c r="G28" s="313" t="s">
        <v>498</v>
      </c>
    </row>
    <row r="29" spans="2:7" x14ac:dyDescent="0.25">
      <c r="B29" s="76">
        <f si="0" t="shared"/>
      </c>
      <c r="C29" s="90">
        <v>147</v>
      </c>
      <c r="D29" s="92" t="s">
        <v>516</v>
      </c>
      <c r="E29" s="93" t="s">
        <v>513</v>
      </c>
      <c r="F29" s="94">
        <v>0.6</v>
      </c>
      <c r="G29" s="313" t="s">
        <v>498</v>
      </c>
    </row>
    <row r="30" spans="2:7" x14ac:dyDescent="0.25">
      <c r="B30" s="76">
        <f si="0" t="shared"/>
      </c>
      <c r="C30" s="85">
        <v>160</v>
      </c>
      <c r="D30" s="95" t="s">
        <v>525</v>
      </c>
      <c r="E30" s="88" t="s">
        <v>513</v>
      </c>
      <c r="F30" s="89">
        <v>1</v>
      </c>
      <c r="G30" s="313" t="s">
        <v>498</v>
      </c>
    </row>
    <row r="31" spans="2:7" x14ac:dyDescent="0.25">
      <c r="B31" s="76">
        <f si="0" t="shared"/>
      </c>
      <c r="C31" s="85">
        <v>161</v>
      </c>
      <c r="D31" s="87" t="s">
        <v>526</v>
      </c>
      <c r="E31" s="88" t="s">
        <v>513</v>
      </c>
      <c r="F31" s="89">
        <v>0.8</v>
      </c>
      <c r="G31" s="313" t="s">
        <v>498</v>
      </c>
    </row>
    <row r="32" spans="2:7" x14ac:dyDescent="0.25">
      <c r="B32" s="76">
        <f si="0" t="shared"/>
      </c>
      <c r="C32" s="85">
        <v>162</v>
      </c>
      <c r="D32" s="87" t="s">
        <v>516</v>
      </c>
      <c r="E32" s="88" t="s">
        <v>513</v>
      </c>
      <c r="F32" s="89">
        <v>0.6</v>
      </c>
      <c r="G32" s="313" t="s">
        <v>498</v>
      </c>
    </row>
    <row r="33" spans="2:7" x14ac:dyDescent="0.25">
      <c r="B33" s="76">
        <f si="0" t="shared"/>
      </c>
      <c r="C33" s="90">
        <v>168</v>
      </c>
      <c r="D33" s="92" t="s">
        <v>527</v>
      </c>
      <c r="E33" s="93" t="s">
        <v>528</v>
      </c>
      <c r="F33" s="94">
        <v>1</v>
      </c>
      <c r="G33" s="313" t="s">
        <v>498</v>
      </c>
    </row>
    <row r="34" spans="2:7" x14ac:dyDescent="0.25">
      <c r="B34" s="76">
        <f si="0" t="shared"/>
      </c>
      <c r="C34" s="85">
        <v>180</v>
      </c>
      <c r="D34" s="87" t="s">
        <v>529</v>
      </c>
      <c r="E34" s="88" t="s">
        <v>513</v>
      </c>
      <c r="F34" s="89">
        <v>1</v>
      </c>
      <c r="G34" s="313" t="s">
        <v>498</v>
      </c>
    </row>
    <row r="35" spans="2:7" x14ac:dyDescent="0.25">
      <c r="B35" s="76">
        <f si="0" t="shared"/>
      </c>
      <c r="C35" s="85">
        <v>181</v>
      </c>
      <c r="D35" s="87" t="s">
        <v>530</v>
      </c>
      <c r="E35" s="88" t="s">
        <v>528</v>
      </c>
      <c r="F35" s="89">
        <v>1</v>
      </c>
      <c r="G35" s="313" t="s">
        <v>498</v>
      </c>
    </row>
    <row r="36" spans="2:7" x14ac:dyDescent="0.25">
      <c r="B36" s="76">
        <f si="0" t="shared"/>
      </c>
      <c r="C36" s="85">
        <v>182</v>
      </c>
      <c r="D36" s="87" t="s">
        <v>531</v>
      </c>
      <c r="E36" s="88" t="s">
        <v>513</v>
      </c>
      <c r="F36" s="89">
        <v>1</v>
      </c>
      <c r="G36" s="313" t="s">
        <v>498</v>
      </c>
    </row>
    <row r="37" spans="2:7" x14ac:dyDescent="0.25">
      <c r="B37" s="76">
        <f si="0" t="shared"/>
      </c>
      <c r="C37" s="85">
        <v>183</v>
      </c>
      <c r="D37" s="87" t="s">
        <v>532</v>
      </c>
      <c r="E37" s="88" t="s">
        <v>513</v>
      </c>
      <c r="F37" s="89">
        <v>1</v>
      </c>
      <c r="G37" s="313" t="s">
        <v>498</v>
      </c>
    </row>
    <row r="38" spans="2:7" x14ac:dyDescent="0.25">
      <c r="B38" s="76">
        <f si="0" t="shared"/>
      </c>
      <c r="C38" s="85">
        <v>184</v>
      </c>
      <c r="D38" s="95" t="s">
        <v>533</v>
      </c>
      <c r="E38" s="88" t="s">
        <v>528</v>
      </c>
      <c r="F38" s="89">
        <v>1</v>
      </c>
      <c r="G38" s="313" t="s">
        <v>498</v>
      </c>
    </row>
    <row r="39" spans="2:7" x14ac:dyDescent="0.25">
      <c r="B39" s="76">
        <f si="0" t="shared"/>
      </c>
      <c r="C39" s="85">
        <v>185</v>
      </c>
      <c r="D39" s="87" t="s">
        <v>534</v>
      </c>
      <c r="E39" s="88" t="s">
        <v>513</v>
      </c>
      <c r="F39" s="89">
        <v>1</v>
      </c>
      <c r="G39" s="313" t="s">
        <v>498</v>
      </c>
    </row>
    <row r="40" spans="2:7" x14ac:dyDescent="0.25">
      <c r="B40" s="76">
        <f si="0" t="shared"/>
      </c>
      <c r="C40" s="85">
        <v>186</v>
      </c>
      <c r="D40" s="87" t="s">
        <v>516</v>
      </c>
      <c r="E40" s="88" t="s">
        <v>513</v>
      </c>
      <c r="F40" s="89">
        <v>0.6</v>
      </c>
      <c r="G40" s="313" t="s">
        <v>498</v>
      </c>
    </row>
    <row customHeight="1" ht="15" r="41" spans="2:7" x14ac:dyDescent="0.25">
      <c r="B41" s="76">
        <f si="0" t="shared"/>
      </c>
      <c r="C41" s="90">
        <v>190</v>
      </c>
      <c r="D41" s="92" t="s">
        <v>501</v>
      </c>
      <c r="E41" s="93" t="s">
        <v>497</v>
      </c>
      <c r="F41" s="94">
        <v>0.6</v>
      </c>
      <c r="G41" s="313" t="s">
        <v>498</v>
      </c>
    </row>
    <row r="42" spans="2:7" x14ac:dyDescent="0.25">
      <c r="B42" s="76">
        <f si="0" t="shared"/>
      </c>
      <c r="C42" s="90">
        <v>191</v>
      </c>
      <c r="D42" s="92" t="s">
        <v>496</v>
      </c>
      <c r="E42" s="93" t="s">
        <v>497</v>
      </c>
      <c r="F42" s="94">
        <v>0.6</v>
      </c>
      <c r="G42" s="313" t="s">
        <v>498</v>
      </c>
    </row>
    <row r="43" spans="2:7" x14ac:dyDescent="0.25">
      <c r="B43" s="76">
        <f si="0" t="shared"/>
      </c>
      <c r="C43" s="90">
        <v>192</v>
      </c>
      <c r="D43" s="92" t="s">
        <v>521</v>
      </c>
      <c r="E43" s="93" t="s">
        <v>497</v>
      </c>
      <c r="F43" s="94">
        <v>0.6</v>
      </c>
      <c r="G43" s="313" t="s">
        <v>498</v>
      </c>
    </row>
    <row r="44" spans="2:7" x14ac:dyDescent="0.25">
      <c r="B44" s="76">
        <f si="0" t="shared"/>
      </c>
      <c r="C44" s="90">
        <v>193</v>
      </c>
      <c r="D44" s="92" t="s">
        <v>535</v>
      </c>
      <c r="E44" s="93" t="s">
        <v>497</v>
      </c>
      <c r="F44" s="94">
        <v>0.6</v>
      </c>
      <c r="G44" s="313" t="s">
        <v>498</v>
      </c>
    </row>
    <row r="45" spans="2:7" x14ac:dyDescent="0.25">
      <c r="B45" s="76">
        <f si="0" t="shared"/>
      </c>
      <c r="C45" s="96">
        <v>195</v>
      </c>
      <c r="D45" s="97" t="s">
        <v>536</v>
      </c>
      <c r="E45" s="98" t="s">
        <v>497</v>
      </c>
      <c r="F45" s="99">
        <v>0.6</v>
      </c>
      <c r="G45" s="313" t="s">
        <v>498</v>
      </c>
    </row>
    <row r="46" spans="2:7" x14ac:dyDescent="0.25">
      <c r="B46" s="76">
        <f si="0" t="shared"/>
      </c>
      <c r="C46" s="85">
        <v>196</v>
      </c>
      <c r="D46" s="87" t="s">
        <v>537</v>
      </c>
      <c r="E46" s="88" t="s">
        <v>505</v>
      </c>
      <c r="F46" s="89">
        <v>1</v>
      </c>
      <c r="G46" s="325" t="s">
        <v>498</v>
      </c>
    </row>
    <row customHeight="1" ht="15" r="47" spans="2:7" x14ac:dyDescent="0.25">
      <c r="B47" s="76">
        <f si="0" t="shared"/>
      </c>
      <c r="C47" s="90">
        <v>201</v>
      </c>
      <c r="D47" s="91" t="s">
        <v>538</v>
      </c>
      <c r="E47" s="93" t="s">
        <v>497</v>
      </c>
      <c r="F47" s="94">
        <v>1</v>
      </c>
      <c r="G47" s="315" t="s">
        <v>539</v>
      </c>
    </row>
    <row r="48" spans="2:7" x14ac:dyDescent="0.25">
      <c r="B48" s="76">
        <f si="0" t="shared"/>
      </c>
      <c r="C48" s="90">
        <v>202</v>
      </c>
      <c r="D48" s="91" t="s">
        <v>540</v>
      </c>
      <c r="E48" s="93" t="s">
        <v>497</v>
      </c>
      <c r="F48" s="94">
        <v>1</v>
      </c>
      <c r="G48" s="316" t="s">
        <v>539</v>
      </c>
    </row>
    <row r="49" spans="2:7" x14ac:dyDescent="0.25">
      <c r="B49" s="76">
        <f si="0" t="shared"/>
      </c>
      <c r="C49" s="90">
        <v>203</v>
      </c>
      <c r="D49" s="92" t="s">
        <v>541</v>
      </c>
      <c r="E49" s="93" t="s">
        <v>507</v>
      </c>
      <c r="F49" s="94">
        <v>1</v>
      </c>
      <c r="G49" s="316" t="s">
        <v>539</v>
      </c>
    </row>
    <row r="50" spans="2:7" x14ac:dyDescent="0.25">
      <c r="B50" s="76">
        <f si="0" t="shared"/>
      </c>
      <c r="C50" s="90">
        <v>204</v>
      </c>
      <c r="D50" s="92" t="s">
        <v>542</v>
      </c>
      <c r="E50" s="93" t="s">
        <v>497</v>
      </c>
      <c r="F50" s="94">
        <v>0.6</v>
      </c>
      <c r="G50" s="316" t="s">
        <v>539</v>
      </c>
    </row>
    <row r="51" spans="2:7" x14ac:dyDescent="0.25">
      <c r="B51" s="76">
        <f si="0" t="shared"/>
      </c>
      <c r="C51" s="90">
        <v>205</v>
      </c>
      <c r="D51" s="92" t="s">
        <v>543</v>
      </c>
      <c r="E51" s="93" t="s">
        <v>497</v>
      </c>
      <c r="F51" s="94">
        <v>0.6</v>
      </c>
      <c r="G51" s="316" t="s">
        <v>539</v>
      </c>
    </row>
    <row r="52" spans="2:7" x14ac:dyDescent="0.25">
      <c r="B52" s="76">
        <f si="0" t="shared"/>
      </c>
      <c r="C52" s="90">
        <v>206</v>
      </c>
      <c r="D52" s="92" t="s">
        <v>544</v>
      </c>
      <c r="E52" s="93" t="s">
        <v>507</v>
      </c>
      <c r="F52" s="94">
        <v>0.6</v>
      </c>
      <c r="G52" s="316" t="s">
        <v>539</v>
      </c>
    </row>
    <row r="53" spans="2:7" x14ac:dyDescent="0.25">
      <c r="B53" s="76">
        <f si="0" t="shared"/>
      </c>
      <c r="C53" s="90">
        <v>207</v>
      </c>
      <c r="D53" s="100" t="s">
        <v>545</v>
      </c>
      <c r="E53" s="93" t="s">
        <v>497</v>
      </c>
      <c r="F53" s="94">
        <v>1</v>
      </c>
      <c r="G53" s="316" t="s">
        <v>539</v>
      </c>
    </row>
    <row r="54" spans="2:7" x14ac:dyDescent="0.25">
      <c r="B54" s="76">
        <f si="0" t="shared"/>
      </c>
      <c r="C54" s="90">
        <v>208</v>
      </c>
      <c r="D54" s="91" t="s">
        <v>546</v>
      </c>
      <c r="E54" s="93" t="s">
        <v>497</v>
      </c>
      <c r="F54" s="94">
        <v>0.6</v>
      </c>
      <c r="G54" s="316" t="s">
        <v>539</v>
      </c>
    </row>
    <row r="55" spans="2:7" x14ac:dyDescent="0.25">
      <c r="B55" s="76">
        <f si="0" t="shared"/>
      </c>
      <c r="C55" s="90">
        <v>215</v>
      </c>
      <c r="D55" s="92" t="s">
        <v>547</v>
      </c>
      <c r="E55" s="93" t="s">
        <v>497</v>
      </c>
      <c r="F55" s="94">
        <v>1</v>
      </c>
      <c r="G55" s="316" t="s">
        <v>539</v>
      </c>
    </row>
    <row r="56" spans="2:7" x14ac:dyDescent="0.25">
      <c r="B56" s="76">
        <f si="0" t="shared"/>
      </c>
      <c r="C56" s="90">
        <v>216</v>
      </c>
      <c r="D56" s="92" t="s">
        <v>548</v>
      </c>
      <c r="E56" s="93" t="s">
        <v>497</v>
      </c>
      <c r="F56" s="94">
        <v>1</v>
      </c>
      <c r="G56" s="316" t="s">
        <v>539</v>
      </c>
    </row>
    <row r="57" spans="2:7" x14ac:dyDescent="0.25">
      <c r="B57" s="76">
        <f si="0" t="shared"/>
      </c>
      <c r="C57" s="90">
        <v>217</v>
      </c>
      <c r="D57" s="92" t="s">
        <v>549</v>
      </c>
      <c r="E57" s="93" t="s">
        <v>497</v>
      </c>
      <c r="F57" s="94">
        <v>1</v>
      </c>
      <c r="G57" s="316" t="s">
        <v>539</v>
      </c>
    </row>
    <row r="58" spans="2:7" x14ac:dyDescent="0.25">
      <c r="B58" s="76">
        <f si="0" t="shared"/>
      </c>
      <c r="C58" s="90">
        <v>220</v>
      </c>
      <c r="D58" s="92" t="s">
        <v>550</v>
      </c>
      <c r="E58" s="93" t="s">
        <v>497</v>
      </c>
      <c r="F58" s="94">
        <v>1</v>
      </c>
      <c r="G58" s="316" t="s">
        <v>539</v>
      </c>
    </row>
    <row r="59" spans="2:7" x14ac:dyDescent="0.25">
      <c r="B59" s="76">
        <f si="0" t="shared"/>
      </c>
      <c r="C59" s="90">
        <v>221</v>
      </c>
      <c r="D59" s="92" t="s">
        <v>551</v>
      </c>
      <c r="E59" s="93" t="s">
        <v>497</v>
      </c>
      <c r="F59" s="94">
        <v>1</v>
      </c>
      <c r="G59" s="316" t="s">
        <v>539</v>
      </c>
    </row>
    <row r="60" spans="2:7" x14ac:dyDescent="0.25">
      <c r="B60" s="76">
        <f si="0" t="shared"/>
      </c>
      <c r="C60" s="90">
        <v>230</v>
      </c>
      <c r="D60" s="92" t="s">
        <v>552</v>
      </c>
      <c r="E60" s="93" t="s">
        <v>497</v>
      </c>
      <c r="F60" s="94">
        <v>1</v>
      </c>
      <c r="G60" s="316" t="s">
        <v>539</v>
      </c>
    </row>
    <row r="61" spans="2:7" x14ac:dyDescent="0.25">
      <c r="B61" s="76">
        <f si="0" t="shared"/>
      </c>
      <c r="C61" s="90">
        <v>231</v>
      </c>
      <c r="D61" s="92" t="s">
        <v>553</v>
      </c>
      <c r="E61" s="93" t="s">
        <v>513</v>
      </c>
      <c r="F61" s="94">
        <v>1</v>
      </c>
      <c r="G61" s="316" t="s">
        <v>539</v>
      </c>
    </row>
    <row r="62" spans="2:7" x14ac:dyDescent="0.25">
      <c r="B62" s="76">
        <f si="0" t="shared"/>
      </c>
      <c r="C62" s="90">
        <v>232</v>
      </c>
      <c r="D62" s="92" t="s">
        <v>554</v>
      </c>
      <c r="E62" s="93" t="s">
        <v>507</v>
      </c>
      <c r="F62" s="94">
        <v>1</v>
      </c>
      <c r="G62" s="316" t="s">
        <v>539</v>
      </c>
    </row>
    <row r="63" spans="2:7" x14ac:dyDescent="0.25">
      <c r="B63" s="76">
        <f si="0" t="shared"/>
      </c>
      <c r="C63" s="85">
        <v>240</v>
      </c>
      <c r="D63" s="87" t="s">
        <v>555</v>
      </c>
      <c r="E63" s="88" t="s">
        <v>497</v>
      </c>
      <c r="F63" s="89">
        <v>1</v>
      </c>
      <c r="G63" s="316" t="s">
        <v>539</v>
      </c>
    </row>
    <row r="64" spans="2:7" x14ac:dyDescent="0.25">
      <c r="B64" s="76">
        <f si="0" t="shared"/>
      </c>
      <c r="C64" s="85">
        <v>241</v>
      </c>
      <c r="D64" s="87" t="s">
        <v>556</v>
      </c>
      <c r="E64" s="88" t="s">
        <v>497</v>
      </c>
      <c r="F64" s="89">
        <v>1</v>
      </c>
      <c r="G64" s="316" t="s">
        <v>539</v>
      </c>
    </row>
    <row r="65" spans="2:7" x14ac:dyDescent="0.25">
      <c r="B65" s="76">
        <f si="0" t="shared"/>
      </c>
      <c r="C65" s="87">
        <v>242</v>
      </c>
      <c r="D65" s="87" t="s">
        <v>557</v>
      </c>
      <c r="E65" s="88" t="s">
        <v>507</v>
      </c>
      <c r="F65" s="101">
        <v>1</v>
      </c>
      <c r="G65" s="316" t="s">
        <v>539</v>
      </c>
    </row>
    <row r="66" spans="2:7" x14ac:dyDescent="0.25">
      <c r="B66" s="76">
        <f si="0" t="shared"/>
      </c>
      <c r="C66" s="87">
        <v>243</v>
      </c>
      <c r="D66" s="87" t="s">
        <v>558</v>
      </c>
      <c r="E66" s="88" t="s">
        <v>497</v>
      </c>
      <c r="F66" s="101">
        <v>1</v>
      </c>
      <c r="G66" s="314" t="s">
        <v>539</v>
      </c>
    </row>
    <row customHeight="1" ht="15" r="67" spans="2:7" x14ac:dyDescent="0.25">
      <c r="B67" s="76">
        <f si="0" t="shared"/>
      </c>
      <c r="C67" s="90">
        <v>301</v>
      </c>
      <c r="D67" s="92" t="s">
        <v>559</v>
      </c>
      <c r="E67" s="93" t="s">
        <v>505</v>
      </c>
      <c r="F67" s="94">
        <v>0.4</v>
      </c>
      <c r="G67" s="308" t="s">
        <v>560</v>
      </c>
    </row>
    <row r="68" spans="2:7" x14ac:dyDescent="0.25">
      <c r="B68" s="76">
        <f si="0" t="shared"/>
      </c>
      <c r="C68" s="90">
        <v>302</v>
      </c>
      <c r="D68" s="92" t="s">
        <v>561</v>
      </c>
      <c r="E68" s="93" t="s">
        <v>505</v>
      </c>
      <c r="F68" s="94">
        <v>0.4</v>
      </c>
      <c r="G68" s="309" t="s">
        <v>560</v>
      </c>
    </row>
    <row r="69" spans="2:7" x14ac:dyDescent="0.25">
      <c r="B69" s="76">
        <f si="0" t="shared"/>
      </c>
      <c r="C69" s="90">
        <v>303</v>
      </c>
      <c r="D69" s="92" t="s">
        <v>562</v>
      </c>
      <c r="E69" s="93" t="s">
        <v>507</v>
      </c>
      <c r="F69" s="94">
        <v>0.4</v>
      </c>
      <c r="G69" s="309" t="s">
        <v>560</v>
      </c>
    </row>
    <row r="70" spans="2:7" x14ac:dyDescent="0.25">
      <c r="B70" s="76">
        <f si="0" t="shared"/>
      </c>
      <c r="C70" s="85">
        <v>311</v>
      </c>
      <c r="D70" s="86" t="s">
        <v>563</v>
      </c>
      <c r="E70" s="88" t="s">
        <v>505</v>
      </c>
      <c r="F70" s="89">
        <v>0.2</v>
      </c>
      <c r="G70" s="309" t="s">
        <v>560</v>
      </c>
    </row>
    <row r="71" spans="2:7" x14ac:dyDescent="0.25">
      <c r="B71" s="76">
        <f si="0" t="shared"/>
      </c>
      <c r="C71" s="85">
        <v>312</v>
      </c>
      <c r="D71" s="86" t="s">
        <v>564</v>
      </c>
      <c r="E71" s="88" t="s">
        <v>513</v>
      </c>
      <c r="F71" s="89">
        <v>0.2</v>
      </c>
      <c r="G71" s="309" t="s">
        <v>560</v>
      </c>
    </row>
    <row r="72" spans="2:7" x14ac:dyDescent="0.25">
      <c r="B72" s="76">
        <f si="0" t="shared"/>
      </c>
      <c r="C72" s="85">
        <v>313</v>
      </c>
      <c r="D72" s="87" t="s">
        <v>565</v>
      </c>
      <c r="E72" s="88" t="s">
        <v>507</v>
      </c>
      <c r="F72" s="89">
        <v>0.2</v>
      </c>
      <c r="G72" s="309" t="s">
        <v>560</v>
      </c>
    </row>
    <row r="73" spans="2:7" x14ac:dyDescent="0.25">
      <c r="B73" s="76">
        <f si="0" t="shared"/>
      </c>
      <c r="C73" s="90">
        <v>321</v>
      </c>
      <c r="D73" s="92" t="s">
        <v>566</v>
      </c>
      <c r="E73" s="93" t="s">
        <v>528</v>
      </c>
      <c r="F73" s="94">
        <v>0.4</v>
      </c>
      <c r="G73" s="309" t="s">
        <v>560</v>
      </c>
    </row>
    <row r="74" spans="2:7" x14ac:dyDescent="0.25">
      <c r="B74" s="76">
        <f ref="B74:B116" si="1" t="shared">1+B73</f>
      </c>
      <c r="C74" s="90">
        <v>322</v>
      </c>
      <c r="D74" s="92" t="s">
        <v>567</v>
      </c>
      <c r="E74" s="93" t="s">
        <v>528</v>
      </c>
      <c r="F74" s="94">
        <v>0.4</v>
      </c>
      <c r="G74" s="309" t="s">
        <v>560</v>
      </c>
    </row>
    <row r="75" spans="2:7" x14ac:dyDescent="0.25">
      <c r="B75" s="76">
        <f si="1" t="shared"/>
      </c>
      <c r="C75" s="90">
        <v>323</v>
      </c>
      <c r="D75" s="92" t="s">
        <v>568</v>
      </c>
      <c r="E75" s="93" t="s">
        <v>528</v>
      </c>
      <c r="F75" s="94">
        <v>0.4</v>
      </c>
      <c r="G75" s="309" t="s">
        <v>560</v>
      </c>
    </row>
    <row r="76" spans="2:7" x14ac:dyDescent="0.25">
      <c r="B76" s="76">
        <f si="1" t="shared"/>
      </c>
      <c r="C76" s="90">
        <v>324</v>
      </c>
      <c r="D76" s="92" t="s">
        <v>569</v>
      </c>
      <c r="E76" s="93" t="s">
        <v>528</v>
      </c>
      <c r="F76" s="94">
        <v>0.4</v>
      </c>
      <c r="G76" s="309" t="s">
        <v>560</v>
      </c>
    </row>
    <row r="77" spans="2:7" x14ac:dyDescent="0.25">
      <c r="B77" s="76">
        <f si="1" t="shared"/>
      </c>
      <c r="C77" s="90">
        <v>325</v>
      </c>
      <c r="D77" s="92" t="s">
        <v>570</v>
      </c>
      <c r="E77" s="93" t="s">
        <v>528</v>
      </c>
      <c r="F77" s="94">
        <v>0.6</v>
      </c>
      <c r="G77" s="309" t="s">
        <v>560</v>
      </c>
    </row>
    <row r="78" spans="2:7" x14ac:dyDescent="0.25">
      <c r="B78" s="76">
        <f si="1" t="shared"/>
      </c>
      <c r="C78" s="90">
        <v>326</v>
      </c>
      <c r="D78" s="92" t="s">
        <v>571</v>
      </c>
      <c r="E78" s="93" t="s">
        <v>528</v>
      </c>
      <c r="F78" s="94">
        <v>0.6</v>
      </c>
      <c r="G78" s="309" t="s">
        <v>560</v>
      </c>
    </row>
    <row r="79" spans="2:7" x14ac:dyDescent="0.25">
      <c r="B79" s="76">
        <f si="1" t="shared"/>
      </c>
      <c r="C79" s="90">
        <v>327</v>
      </c>
      <c r="D79" s="92" t="s">
        <v>572</v>
      </c>
      <c r="E79" s="93" t="s">
        <v>528</v>
      </c>
      <c r="F79" s="94">
        <v>0.6</v>
      </c>
      <c r="G79" s="309" t="s">
        <v>560</v>
      </c>
    </row>
    <row r="80" spans="2:7" x14ac:dyDescent="0.25">
      <c r="B80" s="76">
        <f si="1" t="shared"/>
      </c>
      <c r="C80" s="90">
        <v>328</v>
      </c>
      <c r="D80" s="92" t="s">
        <v>573</v>
      </c>
      <c r="E80" s="93" t="s">
        <v>528</v>
      </c>
      <c r="F80" s="94">
        <v>0.6</v>
      </c>
      <c r="G80" s="309" t="s">
        <v>560</v>
      </c>
    </row>
    <row r="81" spans="2:7" x14ac:dyDescent="0.25">
      <c r="B81" s="76">
        <f si="1" t="shared"/>
      </c>
      <c r="C81" s="90">
        <v>329</v>
      </c>
      <c r="D81" s="92" t="s">
        <v>574</v>
      </c>
      <c r="E81" s="93" t="s">
        <v>528</v>
      </c>
      <c r="F81" s="94">
        <v>0.6</v>
      </c>
      <c r="G81" s="309" t="s">
        <v>560</v>
      </c>
    </row>
    <row customHeight="1" ht="15" r="82" spans="2:7" x14ac:dyDescent="0.25">
      <c r="B82" s="76">
        <f si="1" t="shared"/>
      </c>
      <c r="C82" s="85">
        <v>341</v>
      </c>
      <c r="D82" s="87" t="s">
        <v>279</v>
      </c>
      <c r="E82" s="88" t="s">
        <v>575</v>
      </c>
      <c r="F82" s="89">
        <v>0.4</v>
      </c>
      <c r="G82" s="309" t="s">
        <v>560</v>
      </c>
    </row>
    <row r="83" spans="2:7" x14ac:dyDescent="0.25">
      <c r="B83" s="76">
        <f si="1" t="shared"/>
      </c>
      <c r="C83" s="85">
        <v>342</v>
      </c>
      <c r="D83" s="87" t="s">
        <v>283</v>
      </c>
      <c r="E83" s="88" t="s">
        <v>575</v>
      </c>
      <c r="F83" s="89">
        <v>0.4</v>
      </c>
      <c r="G83" s="309" t="s">
        <v>560</v>
      </c>
    </row>
    <row r="84" spans="2:7" x14ac:dyDescent="0.25">
      <c r="B84" s="76">
        <f si="1" t="shared"/>
      </c>
      <c r="C84" s="85">
        <v>343</v>
      </c>
      <c r="D84" s="87" t="s">
        <v>576</v>
      </c>
      <c r="E84" s="88" t="s">
        <v>575</v>
      </c>
      <c r="F84" s="89">
        <v>0.4</v>
      </c>
      <c r="G84" s="309" t="s">
        <v>560</v>
      </c>
    </row>
    <row r="85" spans="2:7" x14ac:dyDescent="0.25">
      <c r="B85" s="76">
        <f si="1" t="shared"/>
      </c>
      <c r="C85" s="85">
        <v>344</v>
      </c>
      <c r="D85" s="95" t="s">
        <v>577</v>
      </c>
      <c r="E85" s="88" t="s">
        <v>575</v>
      </c>
      <c r="F85" s="89">
        <v>0.4</v>
      </c>
      <c r="G85" s="309" t="s">
        <v>560</v>
      </c>
    </row>
    <row r="86" spans="2:7" x14ac:dyDescent="0.25">
      <c r="B86" s="76">
        <f si="1" t="shared"/>
      </c>
      <c r="C86" s="90">
        <v>351</v>
      </c>
      <c r="D86" s="92" t="s">
        <v>578</v>
      </c>
      <c r="E86" s="93" t="s">
        <v>575</v>
      </c>
      <c r="F86" s="94">
        <v>0.4</v>
      </c>
      <c r="G86" s="309" t="s">
        <v>560</v>
      </c>
    </row>
    <row r="87" spans="2:7" x14ac:dyDescent="0.25">
      <c r="B87" s="76">
        <f si="1" t="shared"/>
      </c>
      <c r="C87" s="90">
        <v>352</v>
      </c>
      <c r="D87" s="92" t="s">
        <v>579</v>
      </c>
      <c r="E87" s="93" t="s">
        <v>575</v>
      </c>
      <c r="F87" s="94">
        <v>0.4</v>
      </c>
      <c r="G87" s="309" t="s">
        <v>560</v>
      </c>
    </row>
    <row r="88" spans="2:7" x14ac:dyDescent="0.25">
      <c r="B88" s="76">
        <f si="1" t="shared"/>
      </c>
      <c r="C88" s="90">
        <v>353</v>
      </c>
      <c r="D88" s="92" t="s">
        <v>580</v>
      </c>
      <c r="E88" s="93" t="s">
        <v>575</v>
      </c>
      <c r="F88" s="94">
        <v>0.4</v>
      </c>
      <c r="G88" s="309" t="s">
        <v>560</v>
      </c>
    </row>
    <row r="89" spans="2:7" x14ac:dyDescent="0.25">
      <c r="B89" s="76">
        <f si="1" t="shared"/>
      </c>
      <c r="C89" s="90">
        <v>354</v>
      </c>
      <c r="D89" s="92" t="s">
        <v>581</v>
      </c>
      <c r="E89" s="93" t="s">
        <v>575</v>
      </c>
      <c r="F89" s="94">
        <v>0.4</v>
      </c>
      <c r="G89" s="309" t="s">
        <v>560</v>
      </c>
    </row>
    <row r="90" spans="2:7" x14ac:dyDescent="0.25">
      <c r="B90" s="76">
        <f si="1" t="shared"/>
      </c>
      <c r="C90" s="96">
        <v>355</v>
      </c>
      <c r="D90" s="97" t="s">
        <v>582</v>
      </c>
      <c r="E90" s="98" t="s">
        <v>575</v>
      </c>
      <c r="F90" s="99">
        <v>0.4</v>
      </c>
      <c r="G90" s="309" t="s">
        <v>560</v>
      </c>
    </row>
    <row r="91" spans="2:7" x14ac:dyDescent="0.25">
      <c r="B91" s="76">
        <f si="1" t="shared"/>
      </c>
      <c r="C91" s="85">
        <v>371</v>
      </c>
      <c r="D91" s="87" t="s">
        <v>583</v>
      </c>
      <c r="E91" s="88" t="s">
        <v>528</v>
      </c>
      <c r="F91" s="89">
        <v>0.4</v>
      </c>
      <c r="G91" s="309" t="s">
        <v>560</v>
      </c>
    </row>
    <row r="92" spans="2:7" x14ac:dyDescent="0.25">
      <c r="B92" s="76">
        <f si="1" t="shared"/>
      </c>
      <c r="C92" s="85">
        <v>372</v>
      </c>
      <c r="D92" s="87" t="s">
        <v>584</v>
      </c>
      <c r="E92" s="88" t="s">
        <v>528</v>
      </c>
      <c r="F92" s="89">
        <v>0.4</v>
      </c>
      <c r="G92" s="310" t="s">
        <v>560</v>
      </c>
    </row>
    <row customHeight="1" ht="15" r="93" spans="2:7" x14ac:dyDescent="0.25">
      <c r="B93" s="76">
        <f si="1" t="shared"/>
      </c>
      <c r="C93" s="102">
        <v>401</v>
      </c>
      <c r="D93" s="103" t="s">
        <v>585</v>
      </c>
      <c r="E93" s="104" t="s">
        <v>575</v>
      </c>
      <c r="F93" s="105">
        <v>0.6</v>
      </c>
      <c r="G93" s="326" t="s">
        <v>586</v>
      </c>
    </row>
    <row r="94" spans="2:7" x14ac:dyDescent="0.25">
      <c r="B94" s="76">
        <f si="1" t="shared"/>
      </c>
      <c r="C94" s="102">
        <v>402</v>
      </c>
      <c r="D94" s="103" t="s">
        <v>587</v>
      </c>
      <c r="E94" s="104" t="s">
        <v>575</v>
      </c>
      <c r="F94" s="105">
        <v>0.6</v>
      </c>
      <c r="G94" s="311" t="s">
        <v>586</v>
      </c>
    </row>
    <row r="95" spans="2:7" x14ac:dyDescent="0.25">
      <c r="B95" s="76">
        <f si="1" t="shared"/>
      </c>
      <c r="C95" s="102">
        <v>403</v>
      </c>
      <c r="D95" s="103" t="s">
        <v>588</v>
      </c>
      <c r="E95" s="104" t="s">
        <v>505</v>
      </c>
      <c r="F95" s="105">
        <v>0.6</v>
      </c>
      <c r="G95" s="311" t="s">
        <v>586</v>
      </c>
    </row>
    <row r="96" spans="2:7" x14ac:dyDescent="0.25">
      <c r="B96" s="76">
        <f si="1" t="shared"/>
      </c>
      <c r="C96" s="102">
        <v>404</v>
      </c>
      <c r="D96" s="103" t="s">
        <v>589</v>
      </c>
      <c r="E96" s="104" t="s">
        <v>575</v>
      </c>
      <c r="F96" s="105">
        <v>0.6</v>
      </c>
      <c r="G96" s="311" t="s">
        <v>586</v>
      </c>
    </row>
    <row r="97" spans="2:7" x14ac:dyDescent="0.25">
      <c r="B97" s="76">
        <f si="1" t="shared"/>
      </c>
      <c r="C97" s="102">
        <v>405</v>
      </c>
      <c r="D97" s="103" t="s">
        <v>388</v>
      </c>
      <c r="E97" s="104" t="s">
        <v>575</v>
      </c>
      <c r="F97" s="105">
        <v>0.6</v>
      </c>
      <c r="G97" s="311" t="s">
        <v>586</v>
      </c>
    </row>
    <row r="98" spans="2:7" x14ac:dyDescent="0.25">
      <c r="B98" s="76">
        <f si="1" t="shared"/>
      </c>
      <c r="C98" s="102">
        <v>406</v>
      </c>
      <c r="D98" s="103" t="s">
        <v>590</v>
      </c>
      <c r="E98" s="104" t="s">
        <v>575</v>
      </c>
      <c r="F98" s="105">
        <v>0.6</v>
      </c>
      <c r="G98" s="311" t="s">
        <v>586</v>
      </c>
    </row>
    <row r="99" spans="2:7" x14ac:dyDescent="0.25">
      <c r="B99" s="76">
        <f si="1" t="shared"/>
      </c>
      <c r="C99" s="102">
        <v>407</v>
      </c>
      <c r="D99" s="103" t="s">
        <v>591</v>
      </c>
      <c r="E99" s="104" t="s">
        <v>497</v>
      </c>
      <c r="F99" s="105">
        <v>0.6</v>
      </c>
      <c r="G99" s="311" t="s">
        <v>586</v>
      </c>
    </row>
    <row r="100" spans="2:7" x14ac:dyDescent="0.25">
      <c r="B100" s="76">
        <f si="1" t="shared"/>
      </c>
      <c r="C100" s="102">
        <v>410</v>
      </c>
      <c r="D100" s="103" t="s">
        <v>592</v>
      </c>
      <c r="E100" s="104" t="s">
        <v>497</v>
      </c>
      <c r="F100" s="105">
        <v>0.2</v>
      </c>
      <c r="G100" s="311" t="s">
        <v>586</v>
      </c>
    </row>
    <row r="101" spans="2:7" x14ac:dyDescent="0.25">
      <c r="B101" s="76">
        <f si="1" t="shared"/>
      </c>
      <c r="C101" s="102">
        <v>411</v>
      </c>
      <c r="D101" s="103" t="s">
        <v>593</v>
      </c>
      <c r="E101" s="104" t="s">
        <v>497</v>
      </c>
      <c r="F101" s="105">
        <v>0.2</v>
      </c>
      <c r="G101" s="311" t="s">
        <v>586</v>
      </c>
    </row>
    <row r="102" spans="2:7" x14ac:dyDescent="0.25">
      <c r="B102" s="76">
        <f si="1" t="shared"/>
      </c>
      <c r="C102" s="102">
        <v>412</v>
      </c>
      <c r="D102" s="103" t="s">
        <v>594</v>
      </c>
      <c r="E102" s="104" t="s">
        <v>497</v>
      </c>
      <c r="F102" s="105">
        <v>0.2</v>
      </c>
      <c r="G102" s="311" t="s">
        <v>586</v>
      </c>
    </row>
    <row r="103" spans="2:7" x14ac:dyDescent="0.25">
      <c r="B103" s="76">
        <f si="1" t="shared"/>
      </c>
      <c r="C103" s="102">
        <v>413</v>
      </c>
      <c r="D103" s="103" t="s">
        <v>595</v>
      </c>
      <c r="E103" s="104" t="s">
        <v>497</v>
      </c>
      <c r="F103" s="105">
        <v>0.2</v>
      </c>
      <c r="G103" s="327" t="s">
        <v>586</v>
      </c>
    </row>
    <row customHeight="1" ht="15" r="104" spans="2:7" x14ac:dyDescent="0.25">
      <c r="B104" s="76">
        <f si="1" t="shared"/>
      </c>
      <c r="C104" s="110">
        <v>501</v>
      </c>
      <c r="D104" s="111" t="s">
        <v>596</v>
      </c>
      <c r="E104" s="112" t="s">
        <v>528</v>
      </c>
      <c r="F104" s="113">
        <v>0.2</v>
      </c>
      <c r="G104" s="317" t="s">
        <v>597</v>
      </c>
    </row>
    <row r="105" spans="2:7" x14ac:dyDescent="0.25">
      <c r="B105" s="76">
        <f si="1" t="shared"/>
      </c>
      <c r="C105" s="106">
        <v>502</v>
      </c>
      <c r="D105" s="107" t="s">
        <v>598</v>
      </c>
      <c r="E105" s="108" t="s">
        <v>497</v>
      </c>
      <c r="F105" s="109">
        <v>0.6</v>
      </c>
      <c r="G105" s="318" t="s">
        <v>597</v>
      </c>
    </row>
    <row r="106" spans="2:7" x14ac:dyDescent="0.25">
      <c r="B106" s="76">
        <f si="1" t="shared"/>
      </c>
      <c r="C106" s="110">
        <v>503</v>
      </c>
      <c r="D106" s="111" t="s">
        <v>599</v>
      </c>
      <c r="E106" s="112" t="s">
        <v>497</v>
      </c>
      <c r="F106" s="113">
        <v>0.6</v>
      </c>
      <c r="G106" s="318" t="s">
        <v>597</v>
      </c>
    </row>
    <row r="107" spans="2:7" x14ac:dyDescent="0.25">
      <c r="B107" s="76">
        <f si="1" t="shared"/>
      </c>
      <c r="C107" s="110">
        <v>504</v>
      </c>
      <c r="D107" s="111" t="s">
        <v>600</v>
      </c>
      <c r="E107" s="112" t="s">
        <v>497</v>
      </c>
      <c r="F107" s="113">
        <v>0.6</v>
      </c>
      <c r="G107" s="318" t="s">
        <v>597</v>
      </c>
    </row>
    <row r="108" spans="2:7" x14ac:dyDescent="0.25">
      <c r="B108" s="76">
        <f si="1" t="shared"/>
      </c>
      <c r="C108" s="110">
        <v>505</v>
      </c>
      <c r="D108" s="111" t="s">
        <v>601</v>
      </c>
      <c r="E108" s="112" t="s">
        <v>497</v>
      </c>
      <c r="F108" s="113">
        <v>0.6</v>
      </c>
      <c r="G108" s="318" t="s">
        <v>597</v>
      </c>
    </row>
    <row r="109" spans="2:7" x14ac:dyDescent="0.25">
      <c r="B109" s="76">
        <f si="1" t="shared"/>
      </c>
      <c r="C109" s="110">
        <v>506</v>
      </c>
      <c r="D109" s="111" t="s">
        <v>602</v>
      </c>
      <c r="E109" s="112" t="s">
        <v>497</v>
      </c>
      <c r="F109" s="113">
        <v>0.6</v>
      </c>
      <c r="G109" s="318" t="s">
        <v>597</v>
      </c>
    </row>
    <row r="110" spans="2:7" x14ac:dyDescent="0.25">
      <c r="B110" s="76">
        <f si="1" t="shared"/>
      </c>
      <c r="C110" s="114">
        <v>510</v>
      </c>
      <c r="D110" s="115" t="s">
        <v>582</v>
      </c>
      <c r="E110" s="116" t="s">
        <v>575</v>
      </c>
      <c r="F110" s="117">
        <v>0.4</v>
      </c>
      <c r="G110" s="318" t="s">
        <v>597</v>
      </c>
    </row>
    <row r="111" spans="2:7" x14ac:dyDescent="0.25">
      <c r="B111" s="76">
        <f si="1" t="shared"/>
      </c>
      <c r="C111" s="114">
        <v>511</v>
      </c>
      <c r="D111" s="115" t="s">
        <v>603</v>
      </c>
      <c r="E111" s="116" t="s">
        <v>505</v>
      </c>
      <c r="F111" s="117">
        <v>0.2</v>
      </c>
      <c r="G111" s="318" t="s">
        <v>597</v>
      </c>
    </row>
    <row r="112" spans="2:7" x14ac:dyDescent="0.25">
      <c r="B112" s="76">
        <f si="1" t="shared"/>
      </c>
      <c r="C112" s="114">
        <v>520</v>
      </c>
      <c r="D112" s="115" t="s">
        <v>604</v>
      </c>
      <c r="E112" s="116" t="s">
        <v>575</v>
      </c>
      <c r="F112" s="117">
        <v>0.2</v>
      </c>
      <c r="G112" s="318" t="s">
        <v>597</v>
      </c>
    </row>
    <row r="113" spans="2:7" x14ac:dyDescent="0.25">
      <c r="B113" s="76">
        <f si="1" t="shared"/>
      </c>
      <c r="C113" s="114">
        <v>521</v>
      </c>
      <c r="D113" s="115" t="s">
        <v>605</v>
      </c>
      <c r="E113" s="116" t="s">
        <v>575</v>
      </c>
      <c r="F113" s="117">
        <v>0.2</v>
      </c>
      <c r="G113" s="318" t="s">
        <v>597</v>
      </c>
    </row>
    <row r="114" spans="2:7" x14ac:dyDescent="0.25">
      <c r="B114" s="76">
        <f si="1" t="shared"/>
      </c>
      <c r="C114" s="114">
        <v>525</v>
      </c>
      <c r="D114" s="115" t="s">
        <v>606</v>
      </c>
      <c r="E114" s="116" t="s">
        <v>575</v>
      </c>
      <c r="F114" s="117">
        <v>0.2</v>
      </c>
      <c r="G114" s="318" t="s">
        <v>597</v>
      </c>
    </row>
    <row r="115" spans="2:7" x14ac:dyDescent="0.25">
      <c r="B115" s="76">
        <f si="1" t="shared"/>
      </c>
      <c r="C115" s="114">
        <v>526</v>
      </c>
      <c r="D115" s="115" t="s">
        <v>607</v>
      </c>
      <c r="E115" s="116" t="s">
        <v>575</v>
      </c>
      <c r="F115" s="117">
        <v>0.2</v>
      </c>
      <c r="G115" s="318" t="s">
        <v>597</v>
      </c>
    </row>
    <row r="116" spans="2:7" x14ac:dyDescent="0.25">
      <c r="B116" s="76">
        <f si="1" t="shared"/>
      </c>
      <c r="C116" s="110">
        <v>530</v>
      </c>
      <c r="D116" s="111" t="s">
        <v>290</v>
      </c>
      <c r="E116" s="112" t="s">
        <v>575</v>
      </c>
      <c r="F116" s="113">
        <v>0.2</v>
      </c>
      <c r="G116" s="319" t="s">
        <v>597</v>
      </c>
    </row>
  </sheetData>
  <mergeCells count="1">
    <mergeCell ref="B3:F3"/>
  </mergeCells>
  <pageMargins bottom="0.75" footer="0.3" header="0.3" left="0.7" right="0.7" top="0.75"/>
  <pageSetup orientation="portrait" paperSize="9" r:id="rId1"/>
  <drawing r:id="rId2"/>
  <legacyDrawing r:id="rId3"/>
  <controls>
    <mc:AlternateContent>
      <mc:Choice Requires="x14">
        <control name="CommandButton1" r:id="rId4" shapeId="7176">
          <controlPr autoLine="0" defaultSize="0" r:id="rId5">
            <anchor moveWithCells="1">
              <from>
                <xdr:col>9</xdr:col>
                <xdr:colOff>390525</xdr:colOff>
                <xdr:row>0</xdr:row>
                <xdr:rowOff>247650</xdr:rowOff>
              </from>
              <to>
                <xdr:col>10</xdr:col>
                <xdr:colOff>1123950</xdr:colOff>
                <xdr:row>2</xdr:row>
                <xdr:rowOff>66675</xdr:rowOff>
              </to>
            </anchor>
          </controlPr>
        </control>
      </mc:Choice>
      <mc:Fallback>
        <control name="CommandButton1" r:id="rId4" shapeId="7176"/>
      </mc:Fallback>
    </mc:AlternateContent>
    <mc:AlternateContent>
      <mc:Choice Requires="x14">
        <control name="ck1" r:id="rId6" shapeId="7177">
          <controlPr autoLine="0" defaultSize="0" r:id="rId7">
            <anchor moveWithCells="1">
              <from>
                <xdr:col>8</xdr:col>
                <xdr:colOff>28575</xdr:colOff>
                <xdr:row>0</xdr:row>
                <xdr:rowOff>152400</xdr:rowOff>
              </from>
              <to>
                <xdr:col>9</xdr:col>
                <xdr:colOff>171450</xdr:colOff>
                <xdr:row>1</xdr:row>
                <xdr:rowOff>28575</xdr:rowOff>
              </to>
            </anchor>
          </controlPr>
        </control>
      </mc:Choice>
      <mc:Fallback>
        <control name="ck1" r:id="rId6" shapeId="7177"/>
      </mc:Fallback>
    </mc:AlternateContent>
    <mc:AlternateContent>
      <mc:Choice Requires="x14">
        <control name="ck2" r:id="rId8" shapeId="7178">
          <controlPr autoLine="0" defaultSize="0" r:id="rId9">
            <anchor moveWithCells="1">
              <from>
                <xdr:col>8</xdr:col>
                <xdr:colOff>47625</xdr:colOff>
                <xdr:row>1</xdr:row>
                <xdr:rowOff>66675</xdr:rowOff>
              </from>
              <to>
                <xdr:col>9</xdr:col>
                <xdr:colOff>238125</xdr:colOff>
                <xdr:row>2</xdr:row>
                <xdr:rowOff>95250</xdr:rowOff>
              </to>
            </anchor>
          </controlPr>
        </control>
      </mc:Choice>
      <mc:Fallback>
        <control name="ck2" r:id="rId8" shapeId="7178"/>
      </mc:Fallback>
    </mc:AlternateContent>
    <mc:AlternateContent>
      <mc:Choice Requires="x14">
        <control name="ck3" r:id="rId10" shapeId="7179">
          <controlPr autoLine="0" defaultSize="0" r:id="rId11">
            <anchor moveWithCells="1">
              <from>
                <xdr:col>8</xdr:col>
                <xdr:colOff>38100</xdr:colOff>
                <xdr:row>2</xdr:row>
                <xdr:rowOff>114300</xdr:rowOff>
              </from>
              <to>
                <xdr:col>9</xdr:col>
                <xdr:colOff>142875</xdr:colOff>
                <xdr:row>2</xdr:row>
                <xdr:rowOff>371475</xdr:rowOff>
              </to>
            </anchor>
          </controlPr>
        </control>
      </mc:Choice>
      <mc:Fallback>
        <control name="ck3" r:id="rId10" shapeId="7179"/>
      </mc:Fallback>
    </mc:AlternateContent>
    <mc:AlternateContent>
      <mc:Choice Requires="x14">
        <control name="ck4" r:id="rId12" shapeId="7180">
          <controlPr autoLine="0" defaultSize="0" r:id="rId13">
            <anchor moveWithCells="1">
              <from>
                <xdr:col>8</xdr:col>
                <xdr:colOff>38100</xdr:colOff>
                <xdr:row>2</xdr:row>
                <xdr:rowOff>371475</xdr:rowOff>
              </from>
              <to>
                <xdr:col>9</xdr:col>
                <xdr:colOff>247650</xdr:colOff>
                <xdr:row>3</xdr:row>
                <xdr:rowOff>238125</xdr:rowOff>
              </to>
            </anchor>
          </controlPr>
        </control>
      </mc:Choice>
      <mc:Fallback>
        <control name="ck4" r:id="rId12" shapeId="7180"/>
      </mc:Fallback>
    </mc:AlternateContent>
    <mc:AlternateContent>
      <mc:Choice Requires="x14">
        <control name="ck5" r:id="rId14" shapeId="7183">
          <controlPr autoLine="0" defaultSize="0" r:id="rId15">
            <anchor moveWithCells="1">
              <from>
                <xdr:col>8</xdr:col>
                <xdr:colOff>38100</xdr:colOff>
                <xdr:row>3</xdr:row>
                <xdr:rowOff>219075</xdr:rowOff>
              </from>
              <to>
                <xdr:col>9</xdr:col>
                <xdr:colOff>247650</xdr:colOff>
                <xdr:row>3</xdr:row>
                <xdr:rowOff>476250</xdr:rowOff>
              </to>
            </anchor>
          </controlPr>
        </control>
      </mc:Choice>
      <mc:Fallback>
        <control name="ck5" r:id="rId14" shapeId="7183"/>
      </mc:Fallback>
    </mc:AlternateContent>
    <mc:AlternateContent>
      <mc:Choice Requires="x14">
        <control name="Group Box 3" r:id="rId16" shapeId="7171">
          <controlPr autoFill="0" autoPict="0" defaultSize="0">
            <anchor moveWithCells="1">
              <from>
                <xdr:col>7</xdr:col>
                <xdr:colOff>752475</xdr:colOff>
                <xdr:row>0</xdr:row>
                <xdr:rowOff>57150</xdr:rowOff>
              </from>
              <to>
                <xdr:col>10</xdr:col>
                <xdr:colOff>1219200</xdr:colOff>
                <xdr:row>3</xdr:row>
                <xdr:rowOff>485775</xdr:rowOff>
              </to>
            </anchor>
          </controlPr>
        </control>
      </mc:Choice>
    </mc:AlternateContent>
  </controls>
</worksheet>
</file>

<file path=xl/worksheets/sheet8.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2578125" defaultRowHeight="12.75" x14ac:dyDescent="0.2"/>
  <cols>
    <col customWidth="1" max="1" min="1" style="330" width="5.7109375"/>
    <col customWidth="1" max="2" min="2" style="330" width="6.7109375"/>
    <col max="5" min="3" style="330" width="11.42578125"/>
    <col bestFit="1" customWidth="1" max="6" min="6" style="330" width="11.5703125"/>
    <col max="9" min="7" style="330" width="11.42578125"/>
    <col customWidth="1" max="10" min="10" style="330" width="4.7109375"/>
    <col bestFit="1" customWidth="1" max="11" min="11" style="330" width="11.85546875"/>
    <col max="16384" min="12" style="330" width="11.42578125"/>
  </cols>
  <sheetData>
    <row ht="13.5" r="2" spans="1:10" x14ac:dyDescent="0.25">
      <c r="A2" s="329"/>
      <c r="E2" s="780" t="s">
        <v>608</v>
      </c>
      <c r="F2" s="780"/>
      <c r="G2" s="780"/>
    </row>
    <row ht="13.5" r="3" spans="1:10" x14ac:dyDescent="0.25">
      <c r="A3" s="329"/>
      <c r="B3" s="331"/>
      <c r="E3" s="780"/>
      <c r="F3" s="780"/>
      <c r="G3" s="780"/>
    </row>
    <row ht="13.5" r="4" spans="1:10" x14ac:dyDescent="0.25">
      <c r="A4" s="332"/>
      <c r="B4" s="333" t="s">
        <v>8</v>
      </c>
      <c r="C4" s="332"/>
      <c r="D4" s="332"/>
      <c r="E4" s="332"/>
      <c r="F4" s="332"/>
      <c r="G4" s="332"/>
      <c r="H4" s="332"/>
      <c r="I4" s="332"/>
      <c r="J4" s="332"/>
    </row>
    <row ht="15.75" r="6" spans="1:10" x14ac:dyDescent="0.25">
      <c r="A6" s="809" t="s">
        <v>609</v>
      </c>
      <c r="B6" s="809"/>
      <c r="C6" s="809"/>
      <c r="D6" s="809"/>
      <c r="E6" s="809"/>
      <c r="F6" s="809"/>
      <c r="G6" s="809"/>
      <c r="H6" s="809"/>
      <c r="I6" s="809"/>
    </row>
    <row ht="14.25" r="7" spans="1:10" x14ac:dyDescent="0.2">
      <c r="A7" s="334"/>
    </row>
    <row ht="15.75" r="8" spans="1:10" x14ac:dyDescent="0.25">
      <c r="A8" s="809" t="s">
        <v>610</v>
      </c>
      <c r="B8" s="809"/>
      <c r="C8" s="809"/>
      <c r="D8" s="809"/>
      <c r="E8" s="809"/>
      <c r="F8" s="809"/>
      <c r="G8" s="809"/>
      <c r="H8" s="809"/>
      <c r="I8" s="809"/>
    </row>
    <row ht="14.25" r="9" spans="1:10" x14ac:dyDescent="0.2">
      <c r="B9" s="335"/>
    </row>
    <row ht="14.25" r="10" spans="1:10" x14ac:dyDescent="0.2">
      <c r="A10" s="335" t="s">
        <v>611</v>
      </c>
      <c r="B10" s="335"/>
    </row>
    <row ht="14.25" r="11" spans="1:10" x14ac:dyDescent="0.2">
      <c r="A11" s="335"/>
      <c r="B11" s="335"/>
    </row>
    <row r="12" spans="1:10" x14ac:dyDescent="0.2">
      <c r="A12" s="779" t="s">
        <v>612</v>
      </c>
      <c r="B12" s="779"/>
      <c r="C12" s="779"/>
      <c r="D12" s="779"/>
      <c r="E12" s="779"/>
      <c r="F12" s="779"/>
      <c r="G12" s="779"/>
      <c r="H12" s="779"/>
      <c r="I12" s="779"/>
    </row>
    <row r="13" spans="1:10" x14ac:dyDescent="0.2">
      <c r="A13" s="779"/>
      <c r="B13" s="779"/>
      <c r="C13" s="779"/>
      <c r="D13" s="779"/>
      <c r="E13" s="779"/>
      <c r="F13" s="779"/>
      <c r="G13" s="779"/>
      <c r="H13" s="779"/>
      <c r="I13" s="779"/>
    </row>
    <row ht="14.25" r="14" spans="1:10" x14ac:dyDescent="0.2">
      <c r="A14" s="335"/>
      <c r="B14" s="335"/>
    </row>
    <row ht="15" r="15" spans="1:10" x14ac:dyDescent="0.25">
      <c r="A15" s="336" t="s">
        <v>613</v>
      </c>
      <c r="B15" s="336"/>
    </row>
    <row ht="14.25" r="16" spans="1:10" x14ac:dyDescent="0.2">
      <c r="A16" s="335"/>
      <c r="B16" s="335"/>
    </row>
    <row r="17" spans="1:9" x14ac:dyDescent="0.2">
      <c r="A17" s="779" t="s">
        <v>614</v>
      </c>
      <c r="B17" s="779"/>
      <c r="C17" s="779"/>
      <c r="D17" s="779"/>
      <c r="E17" s="779"/>
      <c r="F17" s="779"/>
      <c r="G17" s="779"/>
      <c r="H17" s="779"/>
      <c r="I17" s="779"/>
    </row>
    <row r="18" spans="1:9" x14ac:dyDescent="0.2">
      <c r="A18" s="779"/>
      <c r="B18" s="779"/>
      <c r="C18" s="779"/>
      <c r="D18" s="779"/>
      <c r="E18" s="779"/>
      <c r="F18" s="779"/>
      <c r="G18" s="779"/>
      <c r="H18" s="779"/>
      <c r="I18" s="779"/>
    </row>
    <row r="19" spans="1:9" x14ac:dyDescent="0.2">
      <c r="A19" s="779"/>
      <c r="B19" s="779"/>
      <c r="C19" s="779"/>
      <c r="D19" s="779"/>
      <c r="E19" s="779"/>
      <c r="F19" s="779"/>
      <c r="G19" s="779"/>
      <c r="H19" s="779"/>
      <c r="I19" s="779"/>
    </row>
    <row customHeight="1" ht="9.75" r="20" spans="1:9" x14ac:dyDescent="0.2">
      <c r="A20" s="335"/>
      <c r="B20" s="335"/>
    </row>
    <row r="21" spans="1:9" x14ac:dyDescent="0.2">
      <c r="A21" s="779" t="s">
        <v>615</v>
      </c>
      <c r="B21" s="779"/>
      <c r="C21" s="779"/>
      <c r="D21" s="779"/>
      <c r="E21" s="779"/>
      <c r="F21" s="779"/>
      <c r="G21" s="779"/>
      <c r="H21" s="779"/>
      <c r="I21" s="779"/>
    </row>
    <row r="22" spans="1:9" x14ac:dyDescent="0.2">
      <c r="A22" s="779"/>
      <c r="B22" s="779"/>
      <c r="C22" s="779"/>
      <c r="D22" s="779"/>
      <c r="E22" s="779"/>
      <c r="F22" s="779"/>
      <c r="G22" s="779"/>
      <c r="H22" s="779"/>
      <c r="I22" s="779"/>
    </row>
    <row r="23" spans="1:9" x14ac:dyDescent="0.2">
      <c r="A23" s="779"/>
      <c r="B23" s="779"/>
      <c r="C23" s="779"/>
      <c r="D23" s="779"/>
      <c r="E23" s="779"/>
      <c r="F23" s="779"/>
      <c r="G23" s="779"/>
      <c r="H23" s="779"/>
      <c r="I23" s="779"/>
    </row>
    <row r="24" spans="1:9" x14ac:dyDescent="0.2">
      <c r="A24" s="779"/>
      <c r="B24" s="779"/>
      <c r="C24" s="779"/>
      <c r="D24" s="779"/>
      <c r="E24" s="779"/>
      <c r="F24" s="779"/>
      <c r="G24" s="779"/>
      <c r="H24" s="779"/>
      <c r="I24" s="779"/>
    </row>
    <row ht="14.25" r="25" spans="1:9" x14ac:dyDescent="0.2">
      <c r="A25" s="335"/>
      <c r="B25" s="335"/>
    </row>
    <row r="26" spans="1:9" x14ac:dyDescent="0.2">
      <c r="A26" s="779" t="s">
        <v>616</v>
      </c>
      <c r="B26" s="779"/>
      <c r="C26" s="779"/>
      <c r="D26" s="779"/>
      <c r="E26" s="779"/>
      <c r="F26" s="779"/>
      <c r="G26" s="779"/>
      <c r="H26" s="779"/>
      <c r="I26" s="779"/>
    </row>
    <row r="27" spans="1:9" x14ac:dyDescent="0.2">
      <c r="A27" s="779"/>
      <c r="B27" s="779"/>
      <c r="C27" s="779"/>
      <c r="D27" s="779"/>
      <c r="E27" s="779"/>
      <c r="F27" s="779"/>
      <c r="G27" s="779"/>
      <c r="H27" s="779"/>
      <c r="I27" s="779"/>
    </row>
    <row r="28" spans="1:9" x14ac:dyDescent="0.2">
      <c r="A28" s="779"/>
      <c r="B28" s="779"/>
      <c r="C28" s="779"/>
      <c r="D28" s="779"/>
      <c r="E28" s="779"/>
      <c r="F28" s="779"/>
      <c r="G28" s="779"/>
      <c r="H28" s="779"/>
      <c r="I28" s="779"/>
    </row>
    <row ht="14.25" r="29" spans="1:9" x14ac:dyDescent="0.2">
      <c r="A29" s="335"/>
      <c r="B29" s="335"/>
    </row>
    <row r="30" spans="1:9" x14ac:dyDescent="0.2">
      <c r="A30" s="779" t="s">
        <v>617</v>
      </c>
      <c r="B30" s="779"/>
      <c r="C30" s="779"/>
      <c r="D30" s="779"/>
      <c r="E30" s="779"/>
      <c r="F30" s="779"/>
      <c r="G30" s="779"/>
      <c r="H30" s="779"/>
      <c r="I30" s="779"/>
    </row>
    <row r="31" spans="1:9" x14ac:dyDescent="0.2">
      <c r="A31" s="779"/>
      <c r="B31" s="779"/>
      <c r="C31" s="779"/>
      <c r="D31" s="779"/>
      <c r="E31" s="779"/>
      <c r="F31" s="779"/>
      <c r="G31" s="779"/>
      <c r="H31" s="779"/>
      <c r="I31" s="779"/>
    </row>
    <row r="32" spans="1:9" x14ac:dyDescent="0.2">
      <c r="A32" s="779"/>
      <c r="B32" s="779"/>
      <c r="C32" s="779"/>
      <c r="D32" s="779"/>
      <c r="E32" s="779"/>
      <c r="F32" s="779"/>
      <c r="G32" s="779"/>
      <c r="H32" s="779"/>
      <c r="I32" s="779"/>
    </row>
    <row r="33" spans="1:10" x14ac:dyDescent="0.2">
      <c r="A33" s="779"/>
      <c r="B33" s="779"/>
      <c r="C33" s="779"/>
      <c r="D33" s="779"/>
      <c r="E33" s="779"/>
      <c r="F33" s="779"/>
      <c r="G33" s="779"/>
      <c r="H33" s="779"/>
      <c r="I33" s="779"/>
    </row>
    <row ht="14.25" r="34" spans="1:10" x14ac:dyDescent="0.2">
      <c r="A34" s="335"/>
      <c r="B34" s="335"/>
    </row>
    <row ht="14.25" r="35" spans="1:10" x14ac:dyDescent="0.2">
      <c r="A35" s="335" t="s">
        <v>618</v>
      </c>
      <c r="B35" s="335"/>
    </row>
    <row ht="14.25" r="36" spans="1:10" x14ac:dyDescent="0.2">
      <c r="A36" s="335"/>
      <c r="B36" s="335"/>
    </row>
    <row ht="15" r="37" spans="1:10" x14ac:dyDescent="0.25">
      <c r="A37" s="336" t="s">
        <v>619</v>
      </c>
      <c r="B37" s="336"/>
    </row>
    <row ht="14.25" r="38" spans="1:10" x14ac:dyDescent="0.2">
      <c r="A38" s="335"/>
      <c r="B38" s="335"/>
    </row>
    <row r="39" spans="1:10" x14ac:dyDescent="0.2">
      <c r="A39" s="779" t="s">
        <v>620</v>
      </c>
      <c r="B39" s="779"/>
      <c r="C39" s="779"/>
      <c r="D39" s="779"/>
      <c r="E39" s="779"/>
      <c r="F39" s="779"/>
      <c r="G39" s="779"/>
      <c r="H39" s="779"/>
      <c r="I39" s="779"/>
    </row>
    <row r="40" spans="1:10" x14ac:dyDescent="0.2">
      <c r="A40" s="779"/>
      <c r="B40" s="779"/>
      <c r="C40" s="779"/>
      <c r="D40" s="779"/>
      <c r="E40" s="779"/>
      <c r="F40" s="779"/>
      <c r="G40" s="779"/>
      <c r="H40" s="779"/>
      <c r="I40" s="779"/>
    </row>
    <row ht="14.25" r="41" spans="1:10" x14ac:dyDescent="0.2">
      <c r="A41" s="335"/>
      <c r="B41" s="335"/>
    </row>
    <row r="42" spans="1:10" x14ac:dyDescent="0.2">
      <c r="A42" s="779" t="s">
        <v>621</v>
      </c>
      <c r="B42" s="779"/>
      <c r="C42" s="779"/>
      <c r="D42" s="779"/>
      <c r="E42" s="779"/>
      <c r="F42" s="779"/>
      <c r="G42" s="779"/>
      <c r="H42" s="779"/>
      <c r="I42" s="779"/>
    </row>
    <row r="43" spans="1:10" x14ac:dyDescent="0.2">
      <c r="A43" s="779"/>
      <c r="B43" s="779"/>
      <c r="C43" s="779"/>
      <c r="D43" s="779"/>
      <c r="E43" s="779"/>
      <c r="F43" s="779"/>
      <c r="G43" s="779"/>
      <c r="H43" s="779"/>
      <c r="I43" s="779"/>
    </row>
    <row r="44" spans="1:10" x14ac:dyDescent="0.2">
      <c r="A44" s="779"/>
      <c r="B44" s="779"/>
      <c r="C44" s="779"/>
      <c r="D44" s="779"/>
      <c r="E44" s="779"/>
      <c r="F44" s="779"/>
      <c r="G44" s="779"/>
      <c r="H44" s="779"/>
      <c r="I44" s="779"/>
    </row>
    <row r="45" spans="1:10" x14ac:dyDescent="0.2">
      <c r="A45" s="779"/>
      <c r="B45" s="779"/>
      <c r="C45" s="779"/>
      <c r="D45" s="779"/>
      <c r="E45" s="779"/>
      <c r="F45" s="779"/>
      <c r="G45" s="779"/>
      <c r="H45" s="779"/>
      <c r="I45" s="779"/>
    </row>
    <row r="47" spans="1:10" x14ac:dyDescent="0.2">
      <c r="B47" s="330" t="s">
        <v>622</v>
      </c>
    </row>
    <row r="48" spans="1:10" x14ac:dyDescent="0.2">
      <c r="B48" s="781" t="s">
        <v>623</v>
      </c>
      <c r="C48" s="781"/>
      <c r="D48" s="781"/>
      <c r="E48" s="781"/>
      <c r="F48" s="781"/>
      <c r="G48" s="781"/>
      <c r="H48" s="781"/>
      <c r="I48" s="781"/>
      <c r="J48" s="337"/>
    </row>
    <row r="49" spans="1:10" x14ac:dyDescent="0.2">
      <c r="B49" s="781" t="s">
        <v>624</v>
      </c>
      <c r="C49" s="781"/>
      <c r="D49" s="781"/>
      <c r="E49" s="781"/>
      <c r="F49" s="781"/>
      <c r="G49" s="781"/>
      <c r="H49" s="781"/>
      <c r="I49" s="781"/>
      <c r="J49" s="337"/>
    </row>
    <row r="50" spans="1:10" x14ac:dyDescent="0.2">
      <c r="A50" s="794" t="s">
        <v>410</v>
      </c>
      <c r="B50" s="795"/>
      <c r="C50" s="800" t="s">
        <v>625</v>
      </c>
      <c r="D50" s="800"/>
      <c r="E50" s="800"/>
      <c r="F50" s="800"/>
      <c r="G50" s="800"/>
      <c r="H50" s="800"/>
      <c r="I50" s="785"/>
      <c r="J50" s="337"/>
    </row>
    <row r="51" spans="1:10" x14ac:dyDescent="0.2">
      <c r="A51" s="796"/>
      <c r="B51" s="797"/>
      <c r="C51" s="338">
        <v>5</v>
      </c>
      <c r="D51" s="339">
        <v>4</v>
      </c>
      <c r="E51" s="340">
        <v>3</v>
      </c>
      <c r="F51" s="339">
        <v>2</v>
      </c>
      <c r="G51" s="340">
        <v>1</v>
      </c>
      <c r="H51" s="339">
        <v>0</v>
      </c>
      <c r="I51" s="340" t="s">
        <v>626</v>
      </c>
      <c r="J51" s="337"/>
    </row>
    <row r="52" spans="1:10" x14ac:dyDescent="0.2">
      <c r="A52" s="798"/>
      <c r="B52" s="799"/>
      <c r="C52" s="341" t="s">
        <v>627</v>
      </c>
      <c r="D52" s="342" t="s">
        <v>441</v>
      </c>
      <c r="E52" s="343" t="s">
        <v>440</v>
      </c>
      <c r="F52" s="342" t="s">
        <v>439</v>
      </c>
      <c r="G52" s="343" t="s">
        <v>401</v>
      </c>
      <c r="H52" s="342" t="s">
        <v>438</v>
      </c>
      <c r="I52" s="343"/>
      <c r="J52" s="337"/>
    </row>
    <row r="53" spans="1:10" x14ac:dyDescent="0.2">
      <c r="A53" s="784">
        <v>101</v>
      </c>
      <c r="B53" s="785"/>
      <c r="C53" s="344">
        <v>0</v>
      </c>
      <c r="D53" s="345">
        <v>0</v>
      </c>
      <c r="E53" s="344">
        <v>0</v>
      </c>
      <c r="F53" s="345">
        <v>10</v>
      </c>
      <c r="G53" s="344">
        <v>40</v>
      </c>
      <c r="H53" s="345">
        <v>50</v>
      </c>
      <c r="I53" s="344">
        <f>SUM(C53:H53)</f>
      </c>
      <c r="J53" s="337"/>
    </row>
    <row r="54" spans="1:10" x14ac:dyDescent="0.2">
      <c r="A54" s="789">
        <v>201</v>
      </c>
      <c r="B54" s="790"/>
      <c r="C54" s="346">
        <v>0</v>
      </c>
      <c r="D54" s="337">
        <v>20</v>
      </c>
      <c r="E54" s="346">
        <v>20</v>
      </c>
      <c r="F54" s="337">
        <v>20</v>
      </c>
      <c r="G54" s="346">
        <v>20</v>
      </c>
      <c r="H54" s="337">
        <v>20</v>
      </c>
      <c r="I54" s="346">
        <f>SUM(C54:H54)</f>
      </c>
      <c r="J54" s="337"/>
    </row>
    <row r="55" spans="1:10" x14ac:dyDescent="0.2">
      <c r="A55" s="789">
        <v>301</v>
      </c>
      <c r="B55" s="790"/>
      <c r="C55" s="346">
        <v>10</v>
      </c>
      <c r="D55" s="337">
        <v>20</v>
      </c>
      <c r="E55" s="346">
        <v>50</v>
      </c>
      <c r="F55" s="337">
        <v>20</v>
      </c>
      <c r="G55" s="346">
        <v>0</v>
      </c>
      <c r="H55" s="337">
        <v>0</v>
      </c>
      <c r="I55" s="346">
        <f>SUM(C55:H55)</f>
      </c>
      <c r="J55" s="337"/>
    </row>
    <row r="56" spans="1:10" x14ac:dyDescent="0.2">
      <c r="A56" s="789">
        <v>401</v>
      </c>
      <c r="B56" s="790"/>
      <c r="C56" s="346">
        <v>2</v>
      </c>
      <c r="D56" s="337">
        <v>10</v>
      </c>
      <c r="E56" s="346">
        <v>28</v>
      </c>
      <c r="F56" s="337">
        <v>30</v>
      </c>
      <c r="G56" s="346">
        <v>20</v>
      </c>
      <c r="H56" s="337">
        <v>10</v>
      </c>
      <c r="I56" s="346">
        <f>SUM(C56:H56)</f>
      </c>
      <c r="J56" s="337"/>
    </row>
    <row r="57" spans="1:10" x14ac:dyDescent="0.2">
      <c r="A57" s="791">
        <v>501</v>
      </c>
      <c r="B57" s="792"/>
      <c r="C57" s="343">
        <v>0</v>
      </c>
      <c r="D57" s="342">
        <v>0</v>
      </c>
      <c r="E57" s="343">
        <v>40</v>
      </c>
      <c r="F57" s="342">
        <v>30</v>
      </c>
      <c r="G57" s="343">
        <v>20</v>
      </c>
      <c r="H57" s="342">
        <v>10</v>
      </c>
      <c r="I57" s="343">
        <f>SUM(C57:H57)</f>
      </c>
      <c r="J57" s="337"/>
    </row>
    <row r="58" spans="1:10" x14ac:dyDescent="0.2">
      <c r="A58" s="337"/>
      <c r="B58" s="337"/>
      <c r="C58" s="337"/>
      <c r="D58" s="337"/>
      <c r="E58" s="337"/>
      <c r="F58" s="337"/>
      <c r="G58" s="337"/>
      <c r="H58" s="337"/>
      <c r="I58" s="337"/>
      <c r="J58" s="337"/>
    </row>
    <row r="59" spans="1:10" x14ac:dyDescent="0.2">
      <c r="A59" s="779" t="s">
        <v>628</v>
      </c>
      <c r="B59" s="779"/>
      <c r="C59" s="779"/>
      <c r="D59" s="779"/>
      <c r="E59" s="779"/>
      <c r="F59" s="779"/>
      <c r="G59" s="779"/>
      <c r="H59" s="779"/>
      <c r="I59" s="779"/>
      <c r="J59" s="337"/>
    </row>
    <row r="60" spans="1:10" x14ac:dyDescent="0.2">
      <c r="A60" s="779"/>
      <c r="B60" s="779"/>
      <c r="C60" s="779"/>
      <c r="D60" s="779"/>
      <c r="E60" s="779"/>
      <c r="F60" s="779"/>
      <c r="G60" s="779"/>
      <c r="H60" s="779"/>
      <c r="I60" s="779"/>
      <c r="J60" s="337"/>
    </row>
    <row r="62" spans="1:10" x14ac:dyDescent="0.2">
      <c r="A62" s="347"/>
      <c r="B62" s="347"/>
      <c r="C62" s="347"/>
      <c r="D62" s="347"/>
      <c r="E62" s="347"/>
      <c r="F62" s="347"/>
      <c r="G62" s="347"/>
      <c r="H62" s="347"/>
      <c r="I62" s="347"/>
      <c r="J62" s="347"/>
    </row>
    <row ht="13.5" r="63" spans="1:10" x14ac:dyDescent="0.25">
      <c r="A63" s="348" t="s">
        <v>629</v>
      </c>
      <c r="I63" s="330">
        <v>192</v>
      </c>
    </row>
    <row ht="13.5" r="64" spans="1:10" x14ac:dyDescent="0.25">
      <c r="A64" s="348" t="s">
        <v>630</v>
      </c>
    </row>
    <row ht="13.5" r="67" spans="1:10" x14ac:dyDescent="0.25">
      <c r="A67" s="329"/>
      <c r="E67" s="780" t="s">
        <v>608</v>
      </c>
      <c r="F67" s="780"/>
      <c r="G67" s="780"/>
    </row>
    <row ht="13.5" r="68" spans="1:10" x14ac:dyDescent="0.25">
      <c r="A68" s="329"/>
      <c r="B68" s="331"/>
      <c r="E68" s="780"/>
      <c r="F68" s="780"/>
      <c r="G68" s="780"/>
    </row>
    <row ht="13.5" r="69" spans="1:10" x14ac:dyDescent="0.25">
      <c r="A69" s="332"/>
      <c r="B69" s="333" t="s">
        <v>8</v>
      </c>
      <c r="C69" s="332"/>
      <c r="D69" s="332"/>
      <c r="E69" s="332"/>
      <c r="F69" s="332"/>
      <c r="G69" s="332"/>
      <c r="H69" s="332"/>
      <c r="I69" s="332"/>
      <c r="J69" s="332"/>
    </row>
    <row ht="14.25" r="71" spans="1:10" x14ac:dyDescent="0.2">
      <c r="A71" s="335">
        <v>2.1</v>
      </c>
      <c r="B71" s="779" t="s">
        <v>631</v>
      </c>
      <c r="C71" s="779"/>
      <c r="D71" s="779"/>
      <c r="E71" s="779"/>
      <c r="F71" s="779"/>
      <c r="G71" s="779"/>
      <c r="H71" s="779"/>
      <c r="I71" s="779"/>
    </row>
    <row ht="14.25" r="72" spans="1:10" x14ac:dyDescent="0.2">
      <c r="A72" s="335"/>
      <c r="B72" s="779"/>
      <c r="C72" s="779"/>
      <c r="D72" s="779"/>
      <c r="E72" s="779"/>
      <c r="F72" s="779"/>
      <c r="G72" s="779"/>
      <c r="H72" s="779"/>
      <c r="I72" s="779"/>
    </row>
    <row ht="14.25" r="73" spans="1:10" x14ac:dyDescent="0.2">
      <c r="A73" s="335"/>
      <c r="B73" s="779"/>
      <c r="C73" s="779"/>
      <c r="D73" s="779"/>
      <c r="E73" s="779"/>
      <c r="F73" s="779"/>
      <c r="G73" s="779"/>
      <c r="H73" s="779"/>
      <c r="I73" s="779"/>
    </row>
    <row ht="14.25" r="74" spans="1:10" x14ac:dyDescent="0.2">
      <c r="A74" s="335"/>
      <c r="B74" s="779"/>
      <c r="C74" s="779"/>
      <c r="D74" s="779"/>
      <c r="E74" s="779"/>
      <c r="F74" s="779"/>
      <c r="G74" s="779"/>
      <c r="H74" s="779"/>
      <c r="I74" s="779"/>
    </row>
    <row ht="14.25" r="75" spans="1:10" x14ac:dyDescent="0.2">
      <c r="A75" s="335"/>
      <c r="B75" s="779"/>
      <c r="C75" s="779"/>
      <c r="D75" s="779"/>
      <c r="E75" s="779"/>
      <c r="F75" s="779"/>
      <c r="G75" s="779"/>
      <c r="H75" s="779"/>
      <c r="I75" s="779"/>
    </row>
    <row ht="14.25" r="76" spans="1:10" x14ac:dyDescent="0.2">
      <c r="A76" s="335"/>
      <c r="B76" s="349"/>
    </row>
    <row r="77" spans="1:10" x14ac:dyDescent="0.2">
      <c r="B77" s="779" t="s">
        <v>632</v>
      </c>
      <c r="C77" s="779"/>
      <c r="D77" s="779"/>
      <c r="E77" s="779"/>
      <c r="F77" s="779"/>
      <c r="G77" s="779"/>
      <c r="H77" s="779"/>
      <c r="I77" s="779"/>
    </row>
    <row r="78" spans="1:10" x14ac:dyDescent="0.2">
      <c r="B78" s="779"/>
      <c r="C78" s="779"/>
      <c r="D78" s="779"/>
      <c r="E78" s="779"/>
      <c r="F78" s="779"/>
      <c r="G78" s="779"/>
      <c r="H78" s="779"/>
      <c r="I78" s="779"/>
    </row>
    <row r="79" spans="1:10" x14ac:dyDescent="0.2">
      <c r="B79" s="779"/>
      <c r="C79" s="779"/>
      <c r="D79" s="779"/>
      <c r="E79" s="779"/>
      <c r="F79" s="779"/>
      <c r="G79" s="779"/>
      <c r="H79" s="779"/>
      <c r="I79" s="779"/>
    </row>
    <row ht="14.25" r="80" spans="1:10" x14ac:dyDescent="0.2">
      <c r="B80" s="335"/>
    </row>
    <row r="81" spans="1:17" x14ac:dyDescent="0.2">
      <c r="B81" s="779" t="s">
        <v>633</v>
      </c>
      <c r="C81" s="779"/>
      <c r="D81" s="779"/>
      <c r="E81" s="779"/>
      <c r="F81" s="779"/>
      <c r="G81" s="779"/>
      <c r="H81" s="779"/>
      <c r="I81" s="779"/>
    </row>
    <row r="82" spans="1:17" x14ac:dyDescent="0.2">
      <c r="B82" s="779"/>
      <c r="C82" s="779"/>
      <c r="D82" s="779"/>
      <c r="E82" s="779"/>
      <c r="F82" s="779"/>
      <c r="G82" s="779"/>
      <c r="H82" s="779"/>
      <c r="I82" s="779"/>
    </row>
    <row ht="14.25" r="83" spans="1:17" x14ac:dyDescent="0.2">
      <c r="B83" s="335"/>
    </row>
    <row ht="14.25" r="84" spans="1:17" x14ac:dyDescent="0.2">
      <c r="B84" s="335" t="s">
        <v>634</v>
      </c>
    </row>
    <row r="86" spans="1:17" x14ac:dyDescent="0.2">
      <c r="B86" s="330" t="s">
        <v>635</v>
      </c>
    </row>
    <row r="87" spans="1:17" x14ac:dyDescent="0.2">
      <c r="B87" s="781" t="s">
        <v>636</v>
      </c>
      <c r="C87" s="781"/>
      <c r="D87" s="781"/>
      <c r="E87" s="781"/>
      <c r="F87" s="781"/>
      <c r="G87" s="781"/>
      <c r="H87" s="781"/>
    </row>
    <row r="88" spans="1:17" x14ac:dyDescent="0.2">
      <c r="B88" s="803" t="s">
        <v>637</v>
      </c>
      <c r="C88" s="803"/>
      <c r="D88" s="803"/>
      <c r="E88" s="803"/>
      <c r="F88" s="803"/>
      <c r="G88" s="803"/>
      <c r="H88" s="803"/>
    </row>
    <row customHeight="1" ht="15" r="89" spans="1:17" x14ac:dyDescent="0.2">
      <c r="A89" s="794" t="s">
        <v>410</v>
      </c>
      <c r="B89" s="795"/>
      <c r="C89" s="804" t="s">
        <v>625</v>
      </c>
      <c r="D89" s="807"/>
      <c r="E89" s="807"/>
      <c r="F89" s="807"/>
      <c r="G89" s="807"/>
      <c r="H89" s="808"/>
    </row>
    <row r="90" spans="1:17" x14ac:dyDescent="0.2">
      <c r="A90" s="796"/>
      <c r="B90" s="797"/>
      <c r="C90" s="340">
        <v>5</v>
      </c>
      <c r="D90" s="339">
        <v>4</v>
      </c>
      <c r="E90" s="340">
        <v>3</v>
      </c>
      <c r="F90" s="339">
        <v>2</v>
      </c>
      <c r="G90" s="340">
        <v>1</v>
      </c>
      <c r="H90" s="338">
        <v>0</v>
      </c>
      <c r="L90" s="340">
        <v>5</v>
      </c>
      <c r="M90" s="339">
        <v>4</v>
      </c>
      <c r="N90" s="340">
        <v>3</v>
      </c>
      <c r="O90" s="339">
        <v>2</v>
      </c>
      <c r="P90" s="340">
        <v>1</v>
      </c>
      <c r="Q90" s="338">
        <v>0</v>
      </c>
    </row>
    <row r="91" spans="1:17" x14ac:dyDescent="0.2">
      <c r="A91" s="798"/>
      <c r="B91" s="799"/>
      <c r="C91" s="343" t="s">
        <v>627</v>
      </c>
      <c r="D91" s="342" t="s">
        <v>441</v>
      </c>
      <c r="E91" s="343" t="s">
        <v>440</v>
      </c>
      <c r="F91" s="342" t="s">
        <v>439</v>
      </c>
      <c r="G91" s="343" t="s">
        <v>401</v>
      </c>
      <c r="H91" s="341" t="s">
        <v>438</v>
      </c>
      <c r="L91" s="343" t="s">
        <v>627</v>
      </c>
      <c r="M91" s="342" t="s">
        <v>441</v>
      </c>
      <c r="N91" s="343" t="s">
        <v>440</v>
      </c>
      <c r="O91" s="342" t="s">
        <v>439</v>
      </c>
      <c r="P91" s="343" t="s">
        <v>401</v>
      </c>
      <c r="Q91" s="341" t="s">
        <v>438</v>
      </c>
    </row>
    <row r="92" spans="1:17" x14ac:dyDescent="0.2">
      <c r="A92" s="784">
        <v>101</v>
      </c>
      <c r="B92" s="785"/>
      <c r="C92" s="344">
        <f>ROUNDDOWN(+C53*100/3,0)</f>
      </c>
      <c r="D92" s="344">
        <f>ROUNDDOWN(+D53*100/25,0)</f>
      </c>
      <c r="E92" s="344">
        <f>ROUNDDOWN(+E53*100/25,0)</f>
      </c>
      <c r="F92" s="344">
        <f>ROUNDDOWN(+F53*100/25,0)</f>
      </c>
      <c r="G92" s="344">
        <f>ROUNDDOWN(+G53*100/25,0)</f>
      </c>
      <c r="H92" s="344">
        <f>ROUNDDOWN(+H53*100/25,0)</f>
      </c>
      <c r="L92" s="344">
        <f>+C92</f>
      </c>
      <c r="M92" s="344">
        <f>+C92+D92</f>
      </c>
      <c r="N92" s="344">
        <f>+C92+D92+E92</f>
      </c>
      <c r="O92" s="344">
        <f>+C92+D92+E92+F92</f>
      </c>
      <c r="P92" s="344">
        <f>+C92+D92+E92+F92+G92</f>
      </c>
      <c r="Q92" s="344">
        <f>+C92+D92+E92+F92+G92+H92</f>
      </c>
    </row>
    <row r="93" spans="1:17" x14ac:dyDescent="0.2">
      <c r="A93" s="789">
        <v>201</v>
      </c>
      <c r="B93" s="790"/>
      <c r="C93" s="346">
        <f>ROUNDDOWN(+C54*100/3,0)</f>
      </c>
      <c r="D93" s="346">
        <f ref="D93:H96" si="0" t="shared">ROUNDDOWN(+D54*100/25,0)</f>
      </c>
      <c r="E93" s="346">
        <f si="0" t="shared"/>
      </c>
      <c r="F93" s="346">
        <f si="0" t="shared"/>
      </c>
      <c r="G93" s="346">
        <f si="0" t="shared"/>
      </c>
      <c r="H93" s="346">
        <f si="0" t="shared"/>
      </c>
      <c r="L93" s="346">
        <f>+C93</f>
      </c>
      <c r="M93" s="346">
        <f>+C93+D93</f>
      </c>
      <c r="N93" s="346">
        <f>+C93+D93+E93</f>
      </c>
      <c r="O93" s="346">
        <f>+C93+D93+E93+F93</f>
      </c>
      <c r="P93" s="346">
        <f>+C93+D93+E93+F93+G93</f>
      </c>
      <c r="Q93" s="346">
        <f>+C93+D93+E93+F93+G93+H93</f>
      </c>
    </row>
    <row r="94" spans="1:17" x14ac:dyDescent="0.2">
      <c r="A94" s="789">
        <v>301</v>
      </c>
      <c r="B94" s="790"/>
      <c r="C94" s="346">
        <f>ROUNDDOWN(+C55*100/3,0)</f>
      </c>
      <c r="D94" s="346">
        <f si="0" t="shared"/>
      </c>
      <c r="E94" s="346">
        <f si="0" t="shared"/>
      </c>
      <c r="F94" s="346">
        <f si="0" t="shared"/>
      </c>
      <c r="G94" s="346">
        <f si="0" t="shared"/>
      </c>
      <c r="H94" s="346">
        <f si="0" t="shared"/>
      </c>
      <c r="L94" s="346">
        <f>+C94</f>
      </c>
      <c r="M94" s="346">
        <f>+C94+D94</f>
      </c>
      <c r="N94" s="346">
        <f>+C94+D94+E94</f>
      </c>
      <c r="O94" s="346">
        <f>+C94+D94+E94+F94</f>
      </c>
      <c r="P94" s="346">
        <f>+C94+D94+E94+F94+G94</f>
      </c>
      <c r="Q94" s="346">
        <f>+C94+D94+E94+F94+G94+H94</f>
      </c>
    </row>
    <row r="95" spans="1:17" x14ac:dyDescent="0.2">
      <c r="A95" s="789">
        <v>401</v>
      </c>
      <c r="B95" s="790"/>
      <c r="C95" s="346">
        <f>ROUNDDOWN(+C56*100/3,0)</f>
      </c>
      <c r="D95" s="346">
        <f si="0" t="shared"/>
      </c>
      <c r="E95" s="346">
        <f si="0" t="shared"/>
      </c>
      <c r="F95" s="346">
        <f si="0" t="shared"/>
      </c>
      <c r="G95" s="346">
        <f si="0" t="shared"/>
      </c>
      <c r="H95" s="346">
        <f si="0" t="shared"/>
      </c>
      <c r="L95" s="346">
        <f>+C95</f>
      </c>
      <c r="M95" s="346">
        <f>+C95+D95</f>
      </c>
      <c r="N95" s="346">
        <f>+C95+D95+E95</f>
      </c>
      <c r="O95" s="346">
        <f>+C95+D95+E95+F95</f>
      </c>
      <c r="P95" s="346">
        <f>+C95+D95+E95+F95+G95</f>
      </c>
      <c r="Q95" s="346">
        <f>+C95+D95+E95+F95+G95+H95</f>
      </c>
    </row>
    <row r="96" spans="1:17" x14ac:dyDescent="0.2">
      <c r="A96" s="791">
        <v>501</v>
      </c>
      <c r="B96" s="792"/>
      <c r="C96" s="343">
        <f>ROUNDDOWN(+C57*100/3,0)</f>
      </c>
      <c r="D96" s="343">
        <f si="0" t="shared"/>
      </c>
      <c r="E96" s="343">
        <f si="0" t="shared"/>
      </c>
      <c r="F96" s="343">
        <f si="0" t="shared"/>
      </c>
      <c r="G96" s="343">
        <f si="0" t="shared"/>
      </c>
      <c r="H96" s="343">
        <f si="0" t="shared"/>
      </c>
      <c r="L96" s="343">
        <f>+C96</f>
      </c>
      <c r="M96" s="343">
        <f>+C96+D96</f>
      </c>
      <c r="N96" s="343">
        <f>+C96+D96+E96</f>
      </c>
      <c r="O96" s="343">
        <f>+C96+D96+E96+F96</f>
      </c>
      <c r="P96" s="343">
        <f>+C96+D96+E96+F96+G96</f>
      </c>
      <c r="Q96" s="343">
        <f>+C96+D96+E96+F96+G96+H96</f>
      </c>
    </row>
    <row ht="14.25" r="98" spans="1:17" x14ac:dyDescent="0.2">
      <c r="A98" s="335">
        <v>2.2000000000000002</v>
      </c>
      <c r="B98" s="779" t="s">
        <v>638</v>
      </c>
      <c r="C98" s="779"/>
      <c r="D98" s="779"/>
      <c r="E98" s="779"/>
      <c r="F98" s="779"/>
      <c r="G98" s="779"/>
      <c r="H98" s="779"/>
      <c r="I98" s="779"/>
    </row>
    <row ht="14.25" r="99" spans="1:17" x14ac:dyDescent="0.2">
      <c r="A99" s="335"/>
      <c r="B99" s="779"/>
      <c r="C99" s="779"/>
      <c r="D99" s="779"/>
      <c r="E99" s="779"/>
      <c r="F99" s="779"/>
      <c r="G99" s="779"/>
      <c r="H99" s="779"/>
      <c r="I99" s="779"/>
    </row>
    <row ht="14.25" r="100" spans="1:17" x14ac:dyDescent="0.2">
      <c r="A100" s="335"/>
      <c r="B100" s="349"/>
    </row>
    <row r="101" spans="1:17" x14ac:dyDescent="0.2">
      <c r="B101" s="779" t="s">
        <v>639</v>
      </c>
      <c r="C101" s="779"/>
      <c r="D101" s="779"/>
      <c r="E101" s="779"/>
      <c r="F101" s="779"/>
      <c r="G101" s="779"/>
      <c r="H101" s="779"/>
      <c r="I101" s="779"/>
    </row>
    <row r="102" spans="1:17" x14ac:dyDescent="0.2">
      <c r="B102" s="779"/>
      <c r="C102" s="779"/>
      <c r="D102" s="779"/>
      <c r="E102" s="779"/>
      <c r="F102" s="779"/>
      <c r="G102" s="779"/>
      <c r="H102" s="779"/>
      <c r="I102" s="779"/>
    </row>
    <row r="103" spans="1:17" x14ac:dyDescent="0.2">
      <c r="B103" s="779"/>
      <c r="C103" s="779"/>
      <c r="D103" s="779"/>
      <c r="E103" s="779"/>
      <c r="F103" s="779"/>
      <c r="G103" s="779"/>
      <c r="H103" s="779"/>
      <c r="I103" s="779"/>
    </row>
    <row ht="14.25" r="104" spans="1:17" x14ac:dyDescent="0.2">
      <c r="B104" s="335"/>
    </row>
    <row customHeight="1" ht="15" r="105" spans="1:17" x14ac:dyDescent="0.2">
      <c r="B105" s="335" t="s">
        <v>640</v>
      </c>
    </row>
    <row r="107" spans="1:17" x14ac:dyDescent="0.2">
      <c r="B107" s="330" t="s">
        <v>641</v>
      </c>
    </row>
    <row r="108" spans="1:17" x14ac:dyDescent="0.2">
      <c r="B108" s="781" t="s">
        <v>642</v>
      </c>
      <c r="C108" s="781"/>
      <c r="D108" s="781"/>
      <c r="E108" s="781"/>
      <c r="F108" s="781"/>
      <c r="G108" s="781"/>
      <c r="H108" s="781"/>
    </row>
    <row r="109" spans="1:17" x14ac:dyDescent="0.2">
      <c r="B109" s="803" t="s">
        <v>643</v>
      </c>
      <c r="C109" s="803"/>
      <c r="D109" s="803"/>
      <c r="E109" s="803"/>
      <c r="F109" s="803"/>
      <c r="G109" s="803"/>
      <c r="H109" s="803"/>
    </row>
    <row customHeight="1" ht="15" r="110" spans="1:17" x14ac:dyDescent="0.2">
      <c r="A110" s="794" t="s">
        <v>410</v>
      </c>
      <c r="B110" s="795"/>
      <c r="C110" s="804" t="s">
        <v>625</v>
      </c>
      <c r="D110" s="805"/>
      <c r="E110" s="805"/>
      <c r="F110" s="805"/>
      <c r="G110" s="805"/>
      <c r="H110" s="806"/>
    </row>
    <row r="111" spans="1:17" x14ac:dyDescent="0.2">
      <c r="A111" s="796"/>
      <c r="B111" s="797"/>
      <c r="C111" s="340">
        <v>5</v>
      </c>
      <c r="D111" s="339">
        <v>4</v>
      </c>
      <c r="E111" s="340">
        <v>3</v>
      </c>
      <c r="F111" s="339">
        <v>2</v>
      </c>
      <c r="G111" s="340">
        <v>1</v>
      </c>
      <c r="H111" s="338">
        <v>0</v>
      </c>
      <c r="L111" s="340">
        <v>5</v>
      </c>
      <c r="M111" s="339">
        <v>4</v>
      </c>
      <c r="N111" s="340">
        <v>3</v>
      </c>
      <c r="O111" s="339">
        <v>2</v>
      </c>
      <c r="P111" s="340">
        <v>1</v>
      </c>
      <c r="Q111" s="338">
        <v>0</v>
      </c>
    </row>
    <row r="112" spans="1:17" x14ac:dyDescent="0.2">
      <c r="A112" s="798"/>
      <c r="B112" s="799"/>
      <c r="C112" s="343" t="s">
        <v>627</v>
      </c>
      <c r="D112" s="342" t="s">
        <v>441</v>
      </c>
      <c r="E112" s="343" t="s">
        <v>440</v>
      </c>
      <c r="F112" s="342" t="s">
        <v>439</v>
      </c>
      <c r="G112" s="343" t="s">
        <v>401</v>
      </c>
      <c r="H112" s="341" t="s">
        <v>438</v>
      </c>
      <c r="L112" s="343" t="s">
        <v>627</v>
      </c>
      <c r="M112" s="342" t="s">
        <v>441</v>
      </c>
      <c r="N112" s="343" t="s">
        <v>440</v>
      </c>
      <c r="O112" s="342" t="s">
        <v>439</v>
      </c>
      <c r="P112" s="343" t="s">
        <v>401</v>
      </c>
      <c r="Q112" s="341" t="s">
        <v>438</v>
      </c>
    </row>
    <row r="113" spans="1:17" x14ac:dyDescent="0.2">
      <c r="A113" s="784">
        <v>101</v>
      </c>
      <c r="B113" s="785"/>
      <c r="C113" s="344">
        <f>+IF(L92&lt;100,L92,L92)</f>
      </c>
      <c r="D113" s="344">
        <f>+IF(L92&lt;100,M92,0)</f>
      </c>
      <c r="E113" s="344">
        <f>+IF(M92&lt;100,N92,0)</f>
      </c>
      <c r="F113" s="344">
        <f>+IF(N92&lt;100,O92,0)</f>
      </c>
      <c r="G113" s="344">
        <f>+IF(O92&lt;100,P92,0)</f>
      </c>
      <c r="H113" s="344">
        <f>+IF(P92&lt;100,Q92,0)</f>
      </c>
      <c r="L113" s="344">
        <f>+C113</f>
      </c>
      <c r="M113" s="344">
        <f>+C113+D113</f>
      </c>
      <c r="N113" s="344">
        <f>+C113+D113+E113</f>
      </c>
      <c r="O113" s="344">
        <f>+C113+D113+E113+F113</f>
      </c>
      <c r="P113" s="344">
        <f>+C113+D113+E113+F113+G113</f>
      </c>
      <c r="Q113" s="344">
        <f>+C113+D113+E113+F113+G113+H113</f>
      </c>
    </row>
    <row r="114" spans="1:17" x14ac:dyDescent="0.2">
      <c r="A114" s="789">
        <v>201</v>
      </c>
      <c r="B114" s="790"/>
      <c r="C114" s="346">
        <f>+IF(L93&lt;100,L93,L93)</f>
      </c>
      <c r="D114" s="346">
        <f ref="D114:H117" si="1" t="shared">+IF(L93&lt;100,M93,0)</f>
      </c>
      <c r="E114" s="346">
        <f si="1" t="shared"/>
      </c>
      <c r="F114" s="346">
        <f si="1" t="shared"/>
      </c>
      <c r="G114" s="346">
        <f si="1" t="shared"/>
      </c>
      <c r="H114" s="346">
        <f si="1" t="shared"/>
      </c>
      <c r="L114" s="346">
        <f>+C114</f>
      </c>
      <c r="M114" s="346">
        <f>+C114+D114</f>
      </c>
      <c r="N114" s="346">
        <f>+C114+D114+E114</f>
      </c>
      <c r="O114" s="346">
        <f>+C114+D114+E114+F114</f>
      </c>
      <c r="P114" s="346">
        <f>+C114+D114+E114+F114+G114</f>
      </c>
      <c r="Q114" s="346">
        <f>+C114+D114+E114+F114+G114+H114</f>
      </c>
    </row>
    <row r="115" spans="1:17" x14ac:dyDescent="0.2">
      <c r="A115" s="789">
        <v>301</v>
      </c>
      <c r="B115" s="790"/>
      <c r="C115" s="346">
        <f>+IF(L94&lt;100,L94,L94)</f>
      </c>
      <c r="D115" s="346">
        <f si="1" t="shared"/>
      </c>
      <c r="E115" s="346">
        <f si="1" t="shared"/>
      </c>
      <c r="F115" s="346">
        <f si="1" t="shared"/>
      </c>
      <c r="G115" s="346">
        <f si="1" t="shared"/>
      </c>
      <c r="H115" s="346">
        <f si="1" t="shared"/>
      </c>
      <c r="L115" s="346">
        <f>+C115</f>
      </c>
      <c r="M115" s="346">
        <f>+C115+D115</f>
      </c>
      <c r="N115" s="346">
        <f>+C115+D115+E115</f>
      </c>
      <c r="O115" s="346">
        <f>+C115+D115+E115+F115</f>
      </c>
      <c r="P115" s="346">
        <f>+C115+D115+E115+F115+G115</f>
      </c>
      <c r="Q115" s="346">
        <f>+C115+D115+E115+F115+G115+H115</f>
      </c>
    </row>
    <row r="116" spans="1:17" x14ac:dyDescent="0.2">
      <c r="A116" s="789">
        <v>401</v>
      </c>
      <c r="B116" s="790"/>
      <c r="C116" s="346">
        <f>+IF(L95&lt;100,L95,L95)</f>
      </c>
      <c r="D116" s="346">
        <f si="1" t="shared"/>
      </c>
      <c r="E116" s="346">
        <f si="1" t="shared"/>
      </c>
      <c r="F116" s="346">
        <f si="1" t="shared"/>
      </c>
      <c r="G116" s="346">
        <f si="1" t="shared"/>
      </c>
      <c r="H116" s="346">
        <f si="1" t="shared"/>
      </c>
      <c r="L116" s="346">
        <f>+C116</f>
      </c>
      <c r="M116" s="346">
        <f>+C116+D116</f>
      </c>
      <c r="N116" s="346">
        <f>+C116+D116+E116</f>
      </c>
      <c r="O116" s="346">
        <f>+C116+D116+E116+F116</f>
      </c>
      <c r="P116" s="346">
        <f>+C116+D116+E116+F116+G116</f>
      </c>
      <c r="Q116" s="346">
        <f>+C116+D116+E116+F116+G116+H116</f>
      </c>
    </row>
    <row r="117" spans="1:17" x14ac:dyDescent="0.2">
      <c r="A117" s="791">
        <v>501</v>
      </c>
      <c r="B117" s="792"/>
      <c r="C117" s="343">
        <f>+IF(L96&lt;100,L96,L96)</f>
      </c>
      <c r="D117" s="343">
        <f si="1" t="shared"/>
      </c>
      <c r="E117" s="343">
        <f si="1" t="shared"/>
      </c>
      <c r="F117" s="343">
        <f si="1" t="shared"/>
      </c>
      <c r="G117" s="343">
        <f si="1" t="shared"/>
      </c>
      <c r="H117" s="343">
        <f si="1" t="shared"/>
      </c>
      <c r="L117" s="343">
        <f>+C117</f>
      </c>
      <c r="M117" s="343">
        <f>+C117+D117</f>
      </c>
      <c r="N117" s="343">
        <f>+C117+D117+E117</f>
      </c>
      <c r="O117" s="343">
        <f>+C117+D117+E117+F117</f>
      </c>
      <c r="P117" s="343">
        <f>+C117+D117+E117+F117+G117</f>
      </c>
      <c r="Q117" s="343">
        <f>+C117+D117+E117+F117+G117+H117</f>
      </c>
    </row>
    <row r="118" spans="1:17" x14ac:dyDescent="0.2">
      <c r="A118" s="337"/>
      <c r="B118" s="337"/>
      <c r="C118" s="337"/>
      <c r="D118" s="337"/>
      <c r="E118" s="337"/>
      <c r="F118" s="337"/>
      <c r="G118" s="337"/>
      <c r="H118" s="337"/>
      <c r="L118" s="337"/>
      <c r="M118" s="337"/>
      <c r="N118" s="337"/>
      <c r="O118" s="337"/>
      <c r="P118" s="337"/>
      <c r="Q118" s="337"/>
    </row>
    <row ht="14.25" r="119" spans="1:17" x14ac:dyDescent="0.2">
      <c r="A119" s="335">
        <v>2.2999999999999998</v>
      </c>
      <c r="B119" s="779" t="s">
        <v>644</v>
      </c>
      <c r="C119" s="779"/>
      <c r="D119" s="779"/>
      <c r="E119" s="779"/>
      <c r="F119" s="779"/>
      <c r="G119" s="779"/>
      <c r="H119" s="779"/>
      <c r="I119" s="779"/>
      <c r="L119" s="337"/>
      <c r="M119" s="337"/>
      <c r="N119" s="337"/>
      <c r="O119" s="337"/>
      <c r="P119" s="337"/>
      <c r="Q119" s="337"/>
    </row>
    <row r="120" spans="1:17" x14ac:dyDescent="0.2">
      <c r="A120" s="337"/>
      <c r="B120" s="779"/>
      <c r="C120" s="779"/>
      <c r="D120" s="779"/>
      <c r="E120" s="779"/>
      <c r="F120" s="779"/>
      <c r="G120" s="779"/>
      <c r="H120" s="779"/>
      <c r="I120" s="779"/>
      <c r="L120" s="337"/>
      <c r="M120" s="337"/>
      <c r="N120" s="337"/>
      <c r="O120" s="337"/>
      <c r="P120" s="337"/>
      <c r="Q120" s="337"/>
    </row>
    <row r="121" spans="1:17" x14ac:dyDescent="0.2">
      <c r="A121" s="337"/>
      <c r="B121" s="779"/>
      <c r="C121" s="779"/>
      <c r="D121" s="779"/>
      <c r="E121" s="779"/>
      <c r="F121" s="779"/>
      <c r="G121" s="779"/>
      <c r="H121" s="779"/>
      <c r="I121" s="779"/>
      <c r="L121" s="337"/>
      <c r="M121" s="337"/>
      <c r="N121" s="337"/>
      <c r="O121" s="337"/>
      <c r="P121" s="337"/>
      <c r="Q121" s="337"/>
    </row>
    <row r="122" spans="1:17" x14ac:dyDescent="0.2">
      <c r="A122" s="337"/>
      <c r="B122" s="337"/>
      <c r="C122" s="337"/>
      <c r="D122" s="337"/>
      <c r="E122" s="337"/>
      <c r="F122" s="337"/>
      <c r="G122" s="337"/>
      <c r="H122" s="337"/>
      <c r="L122" s="337"/>
      <c r="M122" s="337"/>
      <c r="N122" s="337"/>
      <c r="O122" s="337"/>
      <c r="P122" s="337"/>
      <c r="Q122" s="337"/>
    </row>
    <row r="123" spans="1:17" x14ac:dyDescent="0.2">
      <c r="A123" s="337"/>
      <c r="B123" s="337"/>
      <c r="C123" s="337"/>
      <c r="D123" s="337"/>
      <c r="E123" s="337"/>
      <c r="F123" s="337"/>
      <c r="G123" s="337"/>
      <c r="H123" s="337"/>
      <c r="L123" s="337"/>
      <c r="M123" s="337"/>
      <c r="N123" s="337"/>
      <c r="O123" s="337"/>
      <c r="P123" s="337"/>
      <c r="Q123" s="337"/>
    </row>
    <row r="124" spans="1:17" x14ac:dyDescent="0.2">
      <c r="A124" s="337"/>
      <c r="B124" s="337"/>
      <c r="C124" s="337"/>
      <c r="D124" s="337"/>
      <c r="E124" s="337"/>
      <c r="F124" s="337"/>
      <c r="G124" s="337"/>
      <c r="H124" s="337"/>
      <c r="L124" s="337"/>
      <c r="M124" s="337"/>
      <c r="N124" s="337"/>
      <c r="O124" s="337"/>
      <c r="P124" s="337"/>
      <c r="Q124" s="337"/>
    </row>
    <row r="125" spans="1:17" x14ac:dyDescent="0.2">
      <c r="A125" s="337"/>
      <c r="B125" s="337"/>
      <c r="C125" s="337"/>
      <c r="D125" s="337"/>
      <c r="E125" s="337"/>
      <c r="F125" s="337"/>
      <c r="G125" s="337"/>
      <c r="H125" s="337"/>
      <c r="L125" s="337"/>
      <c r="M125" s="337"/>
      <c r="N125" s="337"/>
      <c r="O125" s="337"/>
      <c r="P125" s="337"/>
      <c r="Q125" s="337"/>
    </row>
    <row r="126" spans="1:17" x14ac:dyDescent="0.2">
      <c r="A126" s="337"/>
      <c r="B126" s="337"/>
      <c r="C126" s="337"/>
      <c r="D126" s="337"/>
      <c r="E126" s="337"/>
      <c r="F126" s="337"/>
      <c r="G126" s="337"/>
      <c r="H126" s="337"/>
      <c r="L126" s="337"/>
      <c r="M126" s="337"/>
      <c r="N126" s="337"/>
      <c r="O126" s="337"/>
      <c r="P126" s="337"/>
      <c r="Q126" s="337"/>
    </row>
    <row r="127" spans="1:17" x14ac:dyDescent="0.2">
      <c r="A127" s="347"/>
      <c r="B127" s="347"/>
      <c r="C127" s="347"/>
      <c r="D127" s="347"/>
      <c r="E127" s="347"/>
      <c r="F127" s="347"/>
      <c r="G127" s="347"/>
      <c r="H127" s="347"/>
      <c r="I127" s="347"/>
      <c r="J127" s="347"/>
    </row>
    <row ht="13.5" r="128" spans="1:17" x14ac:dyDescent="0.25">
      <c r="A128" s="348" t="s">
        <v>629</v>
      </c>
      <c r="I128" s="330">
        <f>1+I63</f>
      </c>
    </row>
    <row ht="13.5" r="129" spans="1:10" x14ac:dyDescent="0.25">
      <c r="A129" s="348" t="s">
        <v>630</v>
      </c>
    </row>
    <row ht="13.5" r="132" spans="1:10" x14ac:dyDescent="0.25">
      <c r="A132" s="329"/>
      <c r="E132" s="780" t="s">
        <v>608</v>
      </c>
      <c r="F132" s="780"/>
      <c r="G132" s="780"/>
    </row>
    <row ht="13.5" r="133" spans="1:10" x14ac:dyDescent="0.25">
      <c r="A133" s="329"/>
      <c r="B133" s="331"/>
      <c r="E133" s="780"/>
      <c r="F133" s="780"/>
      <c r="G133" s="780"/>
    </row>
    <row ht="13.5" r="134" spans="1:10" x14ac:dyDescent="0.25">
      <c r="A134" s="332"/>
      <c r="B134" s="333" t="s">
        <v>8</v>
      </c>
      <c r="C134" s="332"/>
      <c r="D134" s="332"/>
      <c r="E134" s="332"/>
      <c r="F134" s="332"/>
      <c r="G134" s="332"/>
      <c r="H134" s="332"/>
      <c r="I134" s="332"/>
      <c r="J134" s="332"/>
    </row>
    <row r="136" spans="1:10" x14ac:dyDescent="0.2">
      <c r="B136" s="330" t="s">
        <v>645</v>
      </c>
    </row>
    <row r="137" spans="1:10" x14ac:dyDescent="0.2">
      <c r="B137" s="781" t="s">
        <v>646</v>
      </c>
      <c r="C137" s="781"/>
      <c r="D137" s="781"/>
      <c r="E137" s="781"/>
      <c r="F137" s="781"/>
      <c r="G137" s="781"/>
      <c r="H137" s="781"/>
      <c r="I137" s="781"/>
      <c r="J137" s="337"/>
    </row>
    <row r="138" spans="1:10" x14ac:dyDescent="0.2">
      <c r="B138" s="781" t="s">
        <v>647</v>
      </c>
      <c r="C138" s="781"/>
      <c r="D138" s="781"/>
      <c r="E138" s="781"/>
      <c r="F138" s="781"/>
      <c r="G138" s="781"/>
      <c r="H138" s="781"/>
      <c r="I138" s="781"/>
      <c r="J138" s="337"/>
    </row>
    <row r="139" spans="1:10" x14ac:dyDescent="0.2">
      <c r="A139" s="794" t="s">
        <v>410</v>
      </c>
      <c r="B139" s="795"/>
      <c r="C139" s="800" t="s">
        <v>625</v>
      </c>
      <c r="D139" s="800"/>
      <c r="E139" s="800"/>
      <c r="F139" s="800"/>
      <c r="G139" s="800"/>
      <c r="H139" s="800"/>
      <c r="I139" s="785"/>
      <c r="J139" s="337"/>
    </row>
    <row r="140" spans="1:10" x14ac:dyDescent="0.2">
      <c r="A140" s="796"/>
      <c r="B140" s="797"/>
      <c r="C140" s="338">
        <v>5</v>
      </c>
      <c r="D140" s="339">
        <v>4</v>
      </c>
      <c r="E140" s="340">
        <v>3</v>
      </c>
      <c r="F140" s="339">
        <v>2</v>
      </c>
      <c r="G140" s="340">
        <v>1</v>
      </c>
      <c r="H140" s="339">
        <v>0</v>
      </c>
      <c r="I140" s="340" t="s">
        <v>626</v>
      </c>
      <c r="J140" s="337"/>
    </row>
    <row r="141" spans="1:10" x14ac:dyDescent="0.2">
      <c r="A141" s="798"/>
      <c r="B141" s="799"/>
      <c r="C141" s="341" t="s">
        <v>627</v>
      </c>
      <c r="D141" s="342" t="s">
        <v>441</v>
      </c>
      <c r="E141" s="343" t="s">
        <v>440</v>
      </c>
      <c r="F141" s="342" t="s">
        <v>439</v>
      </c>
      <c r="G141" s="343" t="s">
        <v>401</v>
      </c>
      <c r="H141" s="342" t="s">
        <v>438</v>
      </c>
      <c r="I141" s="343"/>
      <c r="J141" s="337"/>
    </row>
    <row r="142" spans="1:10" x14ac:dyDescent="0.2">
      <c r="A142" s="784">
        <v>101</v>
      </c>
      <c r="B142" s="785"/>
      <c r="C142" s="344">
        <f>+IF(L113&gt;100,100,L113)</f>
      </c>
      <c r="D142" s="344">
        <f ref="D142:H146" si="2" t="shared">+IF(L113&gt;=100,0,IF(M113&gt;100,100-L113,D113))</f>
      </c>
      <c r="E142" s="344">
        <f si="2" t="shared"/>
      </c>
      <c r="F142" s="344">
        <f si="2" t="shared"/>
      </c>
      <c r="G142" s="344">
        <f si="2" t="shared"/>
      </c>
      <c r="H142" s="344">
        <f si="2" t="shared"/>
      </c>
      <c r="I142" s="344">
        <f>SUM(C142:H142)</f>
      </c>
      <c r="J142" s="337"/>
    </row>
    <row r="143" spans="1:10" x14ac:dyDescent="0.2">
      <c r="A143" s="789">
        <v>201</v>
      </c>
      <c r="B143" s="790"/>
      <c r="C143" s="346">
        <f>+IF(L114&gt;100,100,L114)</f>
      </c>
      <c r="D143" s="346">
        <f si="2" t="shared"/>
      </c>
      <c r="E143" s="346">
        <f si="2" t="shared"/>
      </c>
      <c r="F143" s="346">
        <f si="2" t="shared"/>
      </c>
      <c r="G143" s="346">
        <f si="2" t="shared"/>
      </c>
      <c r="H143" s="346">
        <f si="2" t="shared"/>
      </c>
      <c r="I143" s="346">
        <f>SUM(C143:H143)</f>
      </c>
      <c r="J143" s="337"/>
    </row>
    <row r="144" spans="1:10" x14ac:dyDescent="0.2">
      <c r="A144" s="789">
        <v>301</v>
      </c>
      <c r="B144" s="790"/>
      <c r="C144" s="346">
        <f>+IF(L115&gt;100,100,L115)</f>
      </c>
      <c r="D144" s="346">
        <f si="2" t="shared"/>
      </c>
      <c r="E144" s="346">
        <f si="2" t="shared"/>
      </c>
      <c r="F144" s="346">
        <f si="2" t="shared"/>
      </c>
      <c r="G144" s="346">
        <f si="2" t="shared"/>
      </c>
      <c r="H144" s="346">
        <f si="2" t="shared"/>
      </c>
      <c r="I144" s="346">
        <f>SUM(C144:H144)</f>
      </c>
      <c r="J144" s="337"/>
    </row>
    <row r="145" spans="1:10" x14ac:dyDescent="0.2">
      <c r="A145" s="789">
        <v>401</v>
      </c>
      <c r="B145" s="790"/>
      <c r="C145" s="346">
        <f>+IF(L116&gt;100,100,L116)</f>
      </c>
      <c r="D145" s="346">
        <f si="2" t="shared"/>
      </c>
      <c r="E145" s="346">
        <f si="2" t="shared"/>
      </c>
      <c r="F145" s="346">
        <f si="2" t="shared"/>
      </c>
      <c r="G145" s="346">
        <f si="2" t="shared"/>
      </c>
      <c r="H145" s="346">
        <f si="2" t="shared"/>
      </c>
      <c r="I145" s="346">
        <f>SUM(C145:H145)</f>
      </c>
      <c r="J145" s="337"/>
    </row>
    <row r="146" spans="1:10" x14ac:dyDescent="0.2">
      <c r="A146" s="791">
        <v>501</v>
      </c>
      <c r="B146" s="792"/>
      <c r="C146" s="343">
        <f>+IF(L117&gt;100,100,L117)</f>
      </c>
      <c r="D146" s="343">
        <f si="2" t="shared"/>
      </c>
      <c r="E146" s="343">
        <f si="2" t="shared"/>
      </c>
      <c r="F146" s="343">
        <f si="2" t="shared"/>
      </c>
      <c r="G146" s="343">
        <f si="2" t="shared"/>
      </c>
      <c r="H146" s="343">
        <f si="2" t="shared"/>
      </c>
      <c r="I146" s="343">
        <f>SUM(C146:H146)</f>
      </c>
      <c r="J146" s="337"/>
    </row>
    <row ht="14.25" r="148" spans="1:10" x14ac:dyDescent="0.2">
      <c r="A148" s="335">
        <v>2.4</v>
      </c>
      <c r="B148" s="779" t="s">
        <v>648</v>
      </c>
      <c r="C148" s="779"/>
      <c r="D148" s="779"/>
      <c r="E148" s="779"/>
      <c r="F148" s="779"/>
      <c r="G148" s="779"/>
      <c r="H148" s="779"/>
      <c r="I148" s="779"/>
    </row>
    <row ht="14.25" r="149" spans="1:10" x14ac:dyDescent="0.2">
      <c r="A149" s="335"/>
      <c r="B149" s="779"/>
      <c r="C149" s="779"/>
      <c r="D149" s="779"/>
      <c r="E149" s="779"/>
      <c r="F149" s="779"/>
      <c r="G149" s="779"/>
      <c r="H149" s="779"/>
      <c r="I149" s="779"/>
    </row>
    <row ht="14.25" r="150" spans="1:10" x14ac:dyDescent="0.2">
      <c r="A150" s="335"/>
      <c r="B150" s="779"/>
      <c r="C150" s="779"/>
      <c r="D150" s="779"/>
      <c r="E150" s="779"/>
      <c r="F150" s="779"/>
      <c r="G150" s="779"/>
      <c r="H150" s="779"/>
      <c r="I150" s="779"/>
    </row>
    <row ht="14.25" r="151" spans="1:10" x14ac:dyDescent="0.2">
      <c r="A151" s="335"/>
      <c r="B151" s="779"/>
      <c r="C151" s="779"/>
      <c r="D151" s="779"/>
      <c r="E151" s="779"/>
      <c r="F151" s="779"/>
      <c r="G151" s="779"/>
      <c r="H151" s="779"/>
      <c r="I151" s="779"/>
    </row>
    <row ht="14.25" r="152" spans="1:10" x14ac:dyDescent="0.2">
      <c r="A152" s="335"/>
      <c r="B152" s="779"/>
      <c r="C152" s="779"/>
      <c r="D152" s="779"/>
      <c r="E152" s="779"/>
      <c r="F152" s="779"/>
      <c r="G152" s="779"/>
      <c r="H152" s="779"/>
      <c r="I152" s="779"/>
    </row>
    <row ht="14.25" r="153" spans="1:10" x14ac:dyDescent="0.2">
      <c r="A153" s="335"/>
      <c r="B153" s="349"/>
    </row>
    <row r="154" spans="1:10" x14ac:dyDescent="0.2">
      <c r="B154" s="330" t="s">
        <v>649</v>
      </c>
      <c r="C154" s="779" t="s">
        <v>650</v>
      </c>
      <c r="D154" s="779"/>
      <c r="E154" s="779"/>
      <c r="F154" s="779"/>
      <c r="G154" s="779"/>
      <c r="H154" s="779"/>
      <c r="I154" s="779"/>
    </row>
    <row ht="14.25" r="155" spans="1:10" x14ac:dyDescent="0.2">
      <c r="B155" s="350"/>
      <c r="C155" s="779"/>
      <c r="D155" s="779"/>
      <c r="E155" s="779"/>
      <c r="F155" s="779"/>
      <c r="G155" s="779"/>
      <c r="H155" s="779"/>
      <c r="I155" s="779"/>
    </row>
    <row ht="14.25" r="156" spans="1:10" x14ac:dyDescent="0.2">
      <c r="B156" s="351"/>
      <c r="C156" s="351"/>
      <c r="D156" s="351"/>
      <c r="E156" s="351"/>
      <c r="F156" s="351"/>
      <c r="G156" s="351"/>
      <c r="H156" s="351"/>
      <c r="I156" s="351"/>
    </row>
    <row ht="14.25" r="157" spans="1:10" x14ac:dyDescent="0.2">
      <c r="B157" s="330" t="s">
        <v>649</v>
      </c>
      <c r="C157" s="335" t="s">
        <v>651</v>
      </c>
    </row>
    <row ht="14.25" r="158" spans="1:10" x14ac:dyDescent="0.2">
      <c r="C158" s="335"/>
    </row>
    <row ht="14.25" r="159" spans="1:10" x14ac:dyDescent="0.2">
      <c r="B159" s="330" t="s">
        <v>649</v>
      </c>
      <c r="C159" s="335" t="s">
        <v>652</v>
      </c>
    </row>
    <row ht="14.25" r="160" spans="1:10" x14ac:dyDescent="0.2">
      <c r="B160" s="335"/>
    </row>
    <row ht="14.25" r="161" spans="1:10" x14ac:dyDescent="0.2">
      <c r="B161" s="335" t="s">
        <v>653</v>
      </c>
    </row>
    <row r="163" spans="1:10" x14ac:dyDescent="0.2">
      <c r="B163" s="330" t="s">
        <v>654</v>
      </c>
    </row>
    <row r="164" spans="1:10" x14ac:dyDescent="0.2">
      <c r="B164" s="781" t="s">
        <v>655</v>
      </c>
      <c r="C164" s="781"/>
      <c r="D164" s="781"/>
      <c r="E164" s="781"/>
      <c r="F164" s="781"/>
      <c r="G164" s="781"/>
      <c r="H164" s="781"/>
      <c r="I164" s="781"/>
      <c r="J164" s="337"/>
    </row>
    <row r="165" spans="1:10" x14ac:dyDescent="0.2">
      <c r="B165" s="781" t="s">
        <v>656</v>
      </c>
      <c r="C165" s="781"/>
      <c r="D165" s="781"/>
      <c r="E165" s="781"/>
      <c r="F165" s="781"/>
      <c r="G165" s="781"/>
      <c r="H165" s="781"/>
      <c r="I165" s="781"/>
      <c r="J165" s="337"/>
    </row>
    <row r="166" spans="1:10" x14ac:dyDescent="0.2">
      <c r="A166" s="794" t="s">
        <v>410</v>
      </c>
      <c r="B166" s="795"/>
      <c r="C166" s="800" t="s">
        <v>625</v>
      </c>
      <c r="D166" s="800"/>
      <c r="E166" s="800"/>
      <c r="F166" s="800"/>
      <c r="G166" s="800"/>
      <c r="H166" s="800"/>
      <c r="I166" s="785"/>
      <c r="J166" s="337"/>
    </row>
    <row r="167" spans="1:10" x14ac:dyDescent="0.2">
      <c r="A167" s="796"/>
      <c r="B167" s="797"/>
      <c r="C167" s="338">
        <v>5</v>
      </c>
      <c r="D167" s="339">
        <v>4</v>
      </c>
      <c r="E167" s="340">
        <v>3</v>
      </c>
      <c r="F167" s="339">
        <v>2</v>
      </c>
      <c r="G167" s="340">
        <v>1</v>
      </c>
      <c r="H167" s="339">
        <v>0</v>
      </c>
      <c r="I167" s="801" t="s">
        <v>657</v>
      </c>
      <c r="J167" s="352"/>
    </row>
    <row r="168" spans="1:10" x14ac:dyDescent="0.2">
      <c r="A168" s="798"/>
      <c r="B168" s="799"/>
      <c r="C168" s="341" t="s">
        <v>627</v>
      </c>
      <c r="D168" s="342" t="s">
        <v>441</v>
      </c>
      <c r="E168" s="343" t="s">
        <v>440</v>
      </c>
      <c r="F168" s="342" t="s">
        <v>439</v>
      </c>
      <c r="G168" s="343" t="s">
        <v>401</v>
      </c>
      <c r="H168" s="342" t="s">
        <v>438</v>
      </c>
      <c r="I168" s="802"/>
      <c r="J168" s="352"/>
    </row>
    <row r="169" spans="1:10" x14ac:dyDescent="0.2">
      <c r="A169" s="784">
        <v>101</v>
      </c>
      <c r="B169" s="785"/>
      <c r="C169" s="344">
        <f ref="C169:H173" si="3" t="shared">+C$167^5*C142/100</f>
      </c>
      <c r="D169" s="344">
        <f si="3" t="shared"/>
      </c>
      <c r="E169" s="344">
        <f si="3" t="shared"/>
      </c>
      <c r="F169" s="344">
        <f si="3" t="shared"/>
      </c>
      <c r="G169" s="344">
        <f si="3" t="shared"/>
      </c>
      <c r="H169" s="344">
        <f si="3" t="shared"/>
      </c>
      <c r="I169" s="353">
        <f>ROUND((SUM(C169:H169))^0.2,2)</f>
      </c>
      <c r="J169" s="354"/>
    </row>
    <row r="170" spans="1:10" x14ac:dyDescent="0.2">
      <c r="A170" s="789">
        <v>201</v>
      </c>
      <c r="B170" s="790"/>
      <c r="C170" s="346">
        <f si="3" t="shared"/>
      </c>
      <c r="D170" s="346">
        <f si="3" t="shared"/>
      </c>
      <c r="E170" s="346">
        <f si="3" t="shared"/>
      </c>
      <c r="F170" s="346">
        <f si="3" t="shared"/>
      </c>
      <c r="G170" s="346">
        <f si="3" t="shared"/>
      </c>
      <c r="H170" s="346">
        <f si="3" t="shared"/>
      </c>
      <c r="I170" s="355">
        <f>ROUND((SUM(C170:H170))^0.2,2)</f>
      </c>
      <c r="J170" s="354"/>
    </row>
    <row r="171" spans="1:10" x14ac:dyDescent="0.2">
      <c r="A171" s="789">
        <v>301</v>
      </c>
      <c r="B171" s="790"/>
      <c r="C171" s="346">
        <f si="3" t="shared"/>
      </c>
      <c r="D171" s="346">
        <f si="3" t="shared"/>
      </c>
      <c r="E171" s="346">
        <f si="3" t="shared"/>
      </c>
      <c r="F171" s="346">
        <f si="3" t="shared"/>
      </c>
      <c r="G171" s="346">
        <f si="3" t="shared"/>
      </c>
      <c r="H171" s="346">
        <f si="3" t="shared"/>
      </c>
      <c r="I171" s="355">
        <f>ROUND((SUM(C171:H171))^0.2,2)</f>
      </c>
      <c r="J171" s="354"/>
    </row>
    <row r="172" spans="1:10" x14ac:dyDescent="0.2">
      <c r="A172" s="789">
        <v>401</v>
      </c>
      <c r="B172" s="790"/>
      <c r="C172" s="346">
        <f si="3" t="shared"/>
      </c>
      <c r="D172" s="346">
        <f si="3" t="shared"/>
      </c>
      <c r="E172" s="346">
        <f si="3" t="shared"/>
      </c>
      <c r="F172" s="346">
        <f si="3" t="shared"/>
      </c>
      <c r="G172" s="346">
        <f si="3" t="shared"/>
      </c>
      <c r="H172" s="346">
        <f si="3" t="shared"/>
      </c>
      <c r="I172" s="355">
        <f>ROUND((SUM(C172:H172))^0.2,2)</f>
      </c>
      <c r="J172" s="354"/>
    </row>
    <row r="173" spans="1:10" x14ac:dyDescent="0.2">
      <c r="A173" s="791">
        <v>501</v>
      </c>
      <c r="B173" s="792"/>
      <c r="C173" s="343">
        <f si="3" t="shared"/>
      </c>
      <c r="D173" s="343">
        <f si="3" t="shared"/>
      </c>
      <c r="E173" s="343">
        <f si="3" t="shared"/>
      </c>
      <c r="F173" s="343">
        <f si="3" t="shared"/>
      </c>
      <c r="G173" s="343">
        <f si="3" t="shared"/>
      </c>
      <c r="H173" s="343">
        <f si="3" t="shared"/>
      </c>
      <c r="I173" s="356">
        <f>ROUND((SUM(C173:H173))^0.2,2)</f>
      </c>
      <c r="J173" s="354"/>
    </row>
    <row r="175" spans="1:10" x14ac:dyDescent="0.2">
      <c r="B175" s="779" t="s">
        <v>658</v>
      </c>
      <c r="C175" s="779"/>
      <c r="D175" s="779"/>
      <c r="E175" s="779"/>
      <c r="F175" s="779"/>
      <c r="G175" s="779"/>
      <c r="H175" s="779"/>
      <c r="I175" s="779"/>
    </row>
    <row ht="14.25" r="176" spans="1:10" x14ac:dyDescent="0.2">
      <c r="A176" s="335"/>
      <c r="B176" s="779"/>
      <c r="C176" s="779"/>
      <c r="D176" s="779"/>
      <c r="E176" s="779"/>
      <c r="F176" s="779"/>
      <c r="G176" s="779"/>
      <c r="H176" s="779"/>
      <c r="I176" s="779"/>
    </row>
    <row ht="14.25" r="177" spans="1:10" x14ac:dyDescent="0.2">
      <c r="A177" s="335"/>
    </row>
    <row r="178" spans="1:10" x14ac:dyDescent="0.2">
      <c r="B178" s="330" t="s">
        <v>649</v>
      </c>
      <c r="C178" s="779" t="s">
        <v>659</v>
      </c>
      <c r="D178" s="779"/>
      <c r="E178" s="779"/>
      <c r="F178" s="779"/>
      <c r="G178" s="779"/>
      <c r="H178" s="779"/>
      <c r="I178" s="779"/>
    </row>
    <row r="179" spans="1:10" x14ac:dyDescent="0.2">
      <c r="C179" s="779"/>
      <c r="D179" s="779"/>
      <c r="E179" s="779"/>
      <c r="F179" s="779"/>
      <c r="G179" s="779"/>
      <c r="H179" s="779"/>
      <c r="I179" s="779"/>
    </row>
    <row ht="14.25" r="180" spans="1:10" x14ac:dyDescent="0.2">
      <c r="C180" s="335"/>
    </row>
    <row r="181" spans="1:10" x14ac:dyDescent="0.2">
      <c r="B181" s="330" t="s">
        <v>649</v>
      </c>
      <c r="C181" s="779" t="s">
        <v>660</v>
      </c>
      <c r="D181" s="779"/>
      <c r="E181" s="779"/>
      <c r="F181" s="779"/>
      <c r="G181" s="779"/>
      <c r="H181" s="779"/>
      <c r="I181" s="779"/>
    </row>
    <row r="182" spans="1:10" x14ac:dyDescent="0.2">
      <c r="C182" s="779"/>
      <c r="D182" s="779"/>
      <c r="E182" s="779"/>
      <c r="F182" s="779"/>
      <c r="G182" s="779"/>
      <c r="H182" s="779"/>
      <c r="I182" s="779"/>
    </row>
    <row r="183" spans="1:10" x14ac:dyDescent="0.2">
      <c r="C183" s="779"/>
      <c r="D183" s="779"/>
      <c r="E183" s="779"/>
      <c r="F183" s="779"/>
      <c r="G183" s="779"/>
      <c r="H183" s="779"/>
      <c r="I183" s="779"/>
    </row>
    <row ht="14.25" r="184" spans="1:10" x14ac:dyDescent="0.2">
      <c r="C184" s="351"/>
      <c r="D184" s="351"/>
      <c r="E184" s="351"/>
      <c r="F184" s="351"/>
      <c r="G184" s="351"/>
      <c r="H184" s="351"/>
      <c r="I184" s="351"/>
    </row>
    <row ht="15" r="185" spans="1:10" x14ac:dyDescent="0.25">
      <c r="A185" s="336" t="s">
        <v>661</v>
      </c>
      <c r="B185" s="349"/>
      <c r="C185" s="351"/>
      <c r="D185" s="351"/>
      <c r="E185" s="351"/>
      <c r="F185" s="351"/>
      <c r="G185" s="351"/>
      <c r="H185" s="351"/>
      <c r="I185" s="351"/>
    </row>
    <row ht="14.25" r="186" spans="1:10" x14ac:dyDescent="0.2">
      <c r="A186" s="335"/>
      <c r="B186" s="349"/>
      <c r="C186" s="351"/>
      <c r="D186" s="351"/>
      <c r="E186" s="351"/>
      <c r="F186" s="351"/>
      <c r="G186" s="351"/>
      <c r="H186" s="351"/>
      <c r="I186" s="351"/>
    </row>
    <row r="187" spans="1:10" x14ac:dyDescent="0.2">
      <c r="A187" s="779" t="s">
        <v>662</v>
      </c>
      <c r="B187" s="779"/>
      <c r="C187" s="779"/>
      <c r="D187" s="779"/>
      <c r="E187" s="779"/>
      <c r="F187" s="779"/>
      <c r="G187" s="779"/>
      <c r="H187" s="779"/>
      <c r="I187" s="779"/>
    </row>
    <row r="188" spans="1:10" x14ac:dyDescent="0.2">
      <c r="A188" s="779"/>
      <c r="B188" s="779"/>
      <c r="C188" s="779"/>
      <c r="D188" s="779"/>
      <c r="E188" s="779"/>
      <c r="F188" s="779"/>
      <c r="G188" s="779"/>
      <c r="H188" s="779"/>
      <c r="I188" s="779"/>
    </row>
    <row ht="14.25" r="189" spans="1:10" x14ac:dyDescent="0.2">
      <c r="A189" s="335"/>
      <c r="B189" s="349"/>
      <c r="C189" s="351"/>
      <c r="D189" s="351"/>
      <c r="E189" s="351"/>
      <c r="F189" s="351"/>
      <c r="G189" s="351"/>
      <c r="H189" s="351"/>
      <c r="I189" s="351"/>
    </row>
    <row ht="14.25" r="190" spans="1:10" x14ac:dyDescent="0.2">
      <c r="A190" s="335" t="s">
        <v>663</v>
      </c>
      <c r="B190" s="349"/>
      <c r="C190" s="351"/>
      <c r="D190" s="351"/>
      <c r="E190" s="351"/>
      <c r="F190" s="351"/>
      <c r="G190" s="351"/>
      <c r="H190" s="351"/>
      <c r="I190" s="351"/>
    </row>
    <row ht="14.25" r="191" spans="1:10" x14ac:dyDescent="0.2">
      <c r="A191" s="335"/>
      <c r="B191" s="349"/>
      <c r="C191" s="351"/>
      <c r="D191" s="351"/>
      <c r="E191" s="351"/>
      <c r="F191" s="351"/>
      <c r="G191" s="351"/>
      <c r="H191" s="351"/>
      <c r="I191" s="351"/>
    </row>
    <row r="192" spans="1:10" x14ac:dyDescent="0.2">
      <c r="A192" s="347"/>
      <c r="B192" s="347"/>
      <c r="C192" s="347"/>
      <c r="D192" s="347"/>
      <c r="E192" s="347"/>
      <c r="F192" s="347"/>
      <c r="G192" s="347"/>
      <c r="H192" s="347"/>
      <c r="I192" s="347"/>
      <c r="J192" s="347"/>
    </row>
    <row ht="13.5" r="193" spans="1:10" x14ac:dyDescent="0.25">
      <c r="A193" s="348" t="s">
        <v>629</v>
      </c>
      <c r="I193" s="330">
        <f>1+I128</f>
      </c>
    </row>
    <row ht="13.5" r="194" spans="1:10" x14ac:dyDescent="0.25">
      <c r="A194" s="348" t="s">
        <v>630</v>
      </c>
    </row>
    <row ht="13.5" r="197" spans="1:10" x14ac:dyDescent="0.25">
      <c r="A197" s="329"/>
      <c r="E197" s="780" t="s">
        <v>608</v>
      </c>
      <c r="F197" s="780"/>
      <c r="G197" s="780"/>
    </row>
    <row ht="13.5" r="198" spans="1:10" x14ac:dyDescent="0.25">
      <c r="A198" s="329"/>
      <c r="B198" s="331"/>
      <c r="E198" s="780"/>
      <c r="F198" s="780"/>
      <c r="G198" s="780"/>
    </row>
    <row ht="13.5" r="199" spans="1:10" x14ac:dyDescent="0.25">
      <c r="A199" s="332"/>
      <c r="B199" s="333" t="s">
        <v>8</v>
      </c>
      <c r="C199" s="332"/>
      <c r="D199" s="332"/>
      <c r="E199" s="332"/>
      <c r="F199" s="332"/>
      <c r="G199" s="332"/>
      <c r="H199" s="332"/>
      <c r="I199" s="332"/>
      <c r="J199" s="332"/>
    </row>
    <row ht="14.25" r="200" spans="1:10" x14ac:dyDescent="0.2">
      <c r="A200" s="335"/>
      <c r="B200" s="349"/>
      <c r="C200" s="351"/>
      <c r="D200" s="351"/>
      <c r="E200" s="351"/>
      <c r="F200" s="351"/>
      <c r="G200" s="351"/>
      <c r="H200" s="351"/>
      <c r="I200" s="351"/>
    </row>
    <row ht="14.25" r="201" spans="1:10" x14ac:dyDescent="0.2">
      <c r="B201" s="330" t="s">
        <v>649</v>
      </c>
      <c r="C201" s="335" t="s">
        <v>664</v>
      </c>
      <c r="E201" s="351"/>
      <c r="F201" s="351"/>
      <c r="G201" s="351"/>
      <c r="H201" s="351"/>
      <c r="I201" s="351"/>
    </row>
    <row ht="14.25" r="202" spans="1:10" x14ac:dyDescent="0.2">
      <c r="C202" s="349"/>
      <c r="E202" s="351"/>
      <c r="F202" s="351"/>
      <c r="G202" s="351"/>
      <c r="H202" s="351"/>
      <c r="I202" s="351"/>
    </row>
    <row ht="14.25" r="203" spans="1:10" x14ac:dyDescent="0.2">
      <c r="B203" s="330" t="s">
        <v>649</v>
      </c>
      <c r="C203" s="335" t="s">
        <v>665</v>
      </c>
      <c r="E203" s="351"/>
      <c r="F203" s="351"/>
      <c r="G203" s="351"/>
      <c r="H203" s="351"/>
      <c r="I203" s="351"/>
    </row>
    <row ht="14.25" r="204" spans="1:10" x14ac:dyDescent="0.2">
      <c r="C204" s="349"/>
      <c r="E204" s="351"/>
      <c r="F204" s="351"/>
      <c r="G204" s="351"/>
      <c r="H204" s="351"/>
      <c r="I204" s="351"/>
    </row>
    <row r="205" spans="1:10" x14ac:dyDescent="0.2">
      <c r="B205" s="330" t="s">
        <v>649</v>
      </c>
      <c r="C205" s="779" t="s">
        <v>666</v>
      </c>
      <c r="D205" s="779"/>
      <c r="E205" s="779"/>
      <c r="F205" s="779"/>
      <c r="G205" s="779"/>
      <c r="H205" s="779"/>
      <c r="I205" s="779"/>
    </row>
    <row r="206" spans="1:10" x14ac:dyDescent="0.2">
      <c r="C206" s="779"/>
      <c r="D206" s="779"/>
      <c r="E206" s="779"/>
      <c r="F206" s="779"/>
      <c r="G206" s="779"/>
      <c r="H206" s="779"/>
      <c r="I206" s="779"/>
    </row>
    <row r="207" spans="1:10" x14ac:dyDescent="0.2">
      <c r="C207" s="779"/>
      <c r="D207" s="779"/>
      <c r="E207" s="779"/>
      <c r="F207" s="779"/>
      <c r="G207" s="779"/>
      <c r="H207" s="779"/>
      <c r="I207" s="779"/>
    </row>
    <row ht="14.25" r="208" spans="1:10" x14ac:dyDescent="0.2">
      <c r="C208" s="349"/>
      <c r="E208" s="351"/>
      <c r="F208" s="351"/>
      <c r="G208" s="351"/>
      <c r="H208" s="351"/>
      <c r="I208" s="351"/>
    </row>
    <row r="209" spans="1:9" x14ac:dyDescent="0.2">
      <c r="B209" s="330" t="s">
        <v>649</v>
      </c>
      <c r="C209" s="779" t="s">
        <v>667</v>
      </c>
      <c r="D209" s="779"/>
      <c r="E209" s="779"/>
      <c r="F209" s="779"/>
      <c r="G209" s="779"/>
      <c r="H209" s="779"/>
      <c r="I209" s="779"/>
    </row>
    <row r="210" spans="1:9" x14ac:dyDescent="0.2">
      <c r="C210" s="779"/>
      <c r="D210" s="779"/>
      <c r="E210" s="779"/>
      <c r="F210" s="779"/>
      <c r="G210" s="779"/>
      <c r="H210" s="779"/>
      <c r="I210" s="779"/>
    </row>
    <row ht="14.25" r="211" spans="1:9" x14ac:dyDescent="0.2">
      <c r="C211" s="349"/>
      <c r="E211" s="351"/>
      <c r="F211" s="351"/>
      <c r="G211" s="351"/>
      <c r="H211" s="351"/>
      <c r="I211" s="351"/>
    </row>
    <row r="212" spans="1:9" x14ac:dyDescent="0.2">
      <c r="B212" s="330" t="s">
        <v>649</v>
      </c>
      <c r="C212" s="779" t="s">
        <v>668</v>
      </c>
      <c r="D212" s="779"/>
      <c r="E212" s="779"/>
      <c r="F212" s="779"/>
      <c r="G212" s="779"/>
      <c r="H212" s="779"/>
      <c r="I212" s="779"/>
    </row>
    <row r="213" spans="1:9" x14ac:dyDescent="0.2">
      <c r="C213" s="779"/>
      <c r="D213" s="779"/>
      <c r="E213" s="779"/>
      <c r="F213" s="779"/>
      <c r="G213" s="779"/>
      <c r="H213" s="779"/>
      <c r="I213" s="779"/>
    </row>
    <row ht="14.25" r="214" spans="1:9" x14ac:dyDescent="0.2">
      <c r="C214" s="349"/>
      <c r="E214" s="351"/>
      <c r="F214" s="351"/>
      <c r="G214" s="351"/>
      <c r="H214" s="351"/>
      <c r="I214" s="351"/>
    </row>
    <row r="215" spans="1:9" x14ac:dyDescent="0.2">
      <c r="B215" s="330" t="s">
        <v>649</v>
      </c>
      <c r="C215" s="779" t="s">
        <v>669</v>
      </c>
      <c r="D215" s="779"/>
      <c r="E215" s="779"/>
      <c r="F215" s="779"/>
      <c r="G215" s="779"/>
      <c r="H215" s="779"/>
      <c r="I215" s="779"/>
    </row>
    <row r="216" spans="1:9" x14ac:dyDescent="0.2">
      <c r="C216" s="779"/>
      <c r="D216" s="779"/>
      <c r="E216" s="779"/>
      <c r="F216" s="779"/>
      <c r="G216" s="779"/>
      <c r="H216" s="779"/>
      <c r="I216" s="779"/>
    </row>
    <row r="217" spans="1:9" x14ac:dyDescent="0.2">
      <c r="C217" s="779"/>
      <c r="D217" s="779"/>
      <c r="E217" s="779"/>
      <c r="F217" s="779"/>
      <c r="G217" s="779"/>
      <c r="H217" s="779"/>
      <c r="I217" s="779"/>
    </row>
    <row r="218" spans="1:9" x14ac:dyDescent="0.2">
      <c r="C218" s="349"/>
    </row>
    <row r="219" spans="1:9" x14ac:dyDescent="0.2">
      <c r="B219" s="330" t="s">
        <v>649</v>
      </c>
      <c r="C219" s="779" t="s">
        <v>670</v>
      </c>
      <c r="D219" s="779"/>
      <c r="E219" s="779"/>
      <c r="F219" s="779"/>
      <c r="G219" s="779"/>
      <c r="H219" s="779"/>
      <c r="I219" s="779"/>
    </row>
    <row r="220" spans="1:9" x14ac:dyDescent="0.2">
      <c r="C220" s="779"/>
      <c r="D220" s="779"/>
      <c r="E220" s="779"/>
      <c r="F220" s="779"/>
      <c r="G220" s="779"/>
      <c r="H220" s="779"/>
      <c r="I220" s="779"/>
    </row>
    <row r="222" spans="1:9" x14ac:dyDescent="0.2">
      <c r="B222" s="330" t="s">
        <v>671</v>
      </c>
    </row>
    <row r="223" spans="1:9" x14ac:dyDescent="0.2">
      <c r="B223" s="781" t="s">
        <v>672</v>
      </c>
      <c r="C223" s="781"/>
      <c r="D223" s="781"/>
      <c r="E223" s="781"/>
      <c r="F223" s="781"/>
    </row>
    <row ht="48" r="224" spans="1:9" x14ac:dyDescent="0.2">
      <c r="A224" s="782" t="s">
        <v>410</v>
      </c>
      <c r="B224" s="783"/>
      <c r="C224" s="357" t="s">
        <v>673</v>
      </c>
      <c r="D224" s="357" t="s">
        <v>674</v>
      </c>
      <c r="E224" s="357" t="s">
        <v>675</v>
      </c>
      <c r="F224" s="357" t="s">
        <v>676</v>
      </c>
    </row>
    <row r="225" spans="1:9" x14ac:dyDescent="0.2">
      <c r="A225" s="784">
        <v>101</v>
      </c>
      <c r="B225" s="785"/>
      <c r="C225" s="353">
        <f>+I169</f>
      </c>
      <c r="D225" s="353">
        <v>1</v>
      </c>
      <c r="E225" s="353">
        <f>+C225*D225</f>
      </c>
      <c r="F225" s="786">
        <f>ROUND(E232+E234/((E231-1)*E232),2)</f>
      </c>
    </row>
    <row r="226" spans="1:9" x14ac:dyDescent="0.2">
      <c r="A226" s="789">
        <v>201</v>
      </c>
      <c r="B226" s="790"/>
      <c r="C226" s="355">
        <f>+I170</f>
      </c>
      <c r="D226" s="355">
        <v>1</v>
      </c>
      <c r="E226" s="355">
        <f>+C226*D226</f>
      </c>
      <c r="F226" s="787"/>
    </row>
    <row r="227" spans="1:9" x14ac:dyDescent="0.2">
      <c r="A227" s="789">
        <v>301</v>
      </c>
      <c r="B227" s="790"/>
      <c r="C227" s="355">
        <f>+I171</f>
      </c>
      <c r="D227" s="355">
        <v>0.6</v>
      </c>
      <c r="E227" s="355">
        <f>+C227*D227</f>
      </c>
      <c r="F227" s="787"/>
    </row>
    <row r="228" spans="1:9" x14ac:dyDescent="0.2">
      <c r="A228" s="789">
        <v>401</v>
      </c>
      <c r="B228" s="790"/>
      <c r="C228" s="355">
        <f>+I172</f>
      </c>
      <c r="D228" s="355">
        <v>0.4</v>
      </c>
      <c r="E228" s="355">
        <f>+C228*D228</f>
      </c>
      <c r="F228" s="787"/>
    </row>
    <row r="229" spans="1:9" x14ac:dyDescent="0.2">
      <c r="A229" s="791">
        <v>501</v>
      </c>
      <c r="B229" s="792"/>
      <c r="C229" s="356">
        <f>+I173</f>
      </c>
      <c r="D229" s="356">
        <v>0</v>
      </c>
      <c r="E229" s="356">
        <f>+C229*D229</f>
      </c>
      <c r="F229" s="788"/>
    </row>
    <row r="231" spans="1:9" x14ac:dyDescent="0.2">
      <c r="C231" s="793" t="s">
        <v>677</v>
      </c>
      <c r="D231" s="793"/>
      <c r="E231" s="358">
        <f>COUNT(A225:A229)</f>
      </c>
    </row>
    <row r="232" spans="1:9" x14ac:dyDescent="0.2">
      <c r="C232" s="793" t="s">
        <v>678</v>
      </c>
      <c r="D232" s="793"/>
      <c r="E232" s="358">
        <f>MAX(E225:E229)</f>
      </c>
    </row>
    <row r="233" spans="1:9" x14ac:dyDescent="0.2">
      <c r="C233" s="793" t="s">
        <v>679</v>
      </c>
      <c r="D233" s="793"/>
      <c r="E233" s="358">
        <f>SUM(E225:E229)</f>
      </c>
    </row>
    <row r="234" spans="1:9" x14ac:dyDescent="0.2">
      <c r="C234" s="793" t="s">
        <v>680</v>
      </c>
      <c r="D234" s="793"/>
      <c r="E234" s="358">
        <f>+E233-E232</f>
      </c>
    </row>
    <row r="236" spans="1:9" x14ac:dyDescent="0.2">
      <c r="A236" s="779" t="s">
        <v>681</v>
      </c>
      <c r="B236" s="779"/>
      <c r="C236" s="779"/>
      <c r="D236" s="779"/>
      <c r="E236" s="779"/>
      <c r="F236" s="779"/>
      <c r="G236" s="779"/>
      <c r="H236" s="779"/>
      <c r="I236" s="779"/>
    </row>
    <row r="237" spans="1:9" x14ac:dyDescent="0.2">
      <c r="A237" s="779"/>
      <c r="B237" s="779"/>
      <c r="C237" s="779"/>
      <c r="D237" s="779"/>
      <c r="E237" s="779"/>
      <c r="F237" s="779"/>
      <c r="G237" s="779"/>
      <c r="H237" s="779"/>
      <c r="I237" s="779"/>
    </row>
    <row ht="14.25" r="238" spans="1:9" x14ac:dyDescent="0.2">
      <c r="A238" s="335"/>
    </row>
    <row r="239" spans="1:9" x14ac:dyDescent="0.2">
      <c r="A239" s="779" t="s">
        <v>682</v>
      </c>
      <c r="B239" s="779"/>
      <c r="C239" s="779"/>
      <c r="D239" s="779"/>
      <c r="E239" s="779"/>
      <c r="F239" s="779"/>
      <c r="G239" s="779"/>
      <c r="H239" s="779"/>
      <c r="I239" s="779"/>
    </row>
    <row r="240" spans="1:9" x14ac:dyDescent="0.2">
      <c r="A240" s="779"/>
      <c r="B240" s="779"/>
      <c r="C240" s="779"/>
      <c r="D240" s="779"/>
      <c r="E240" s="779"/>
      <c r="F240" s="779"/>
      <c r="G240" s="779"/>
      <c r="H240" s="779"/>
      <c r="I240" s="779"/>
    </row>
    <row ht="14.25" r="241" spans="1:9" x14ac:dyDescent="0.2">
      <c r="A241" s="335"/>
    </row>
    <row r="242" spans="1:9" x14ac:dyDescent="0.2">
      <c r="A242" s="779" t="s">
        <v>683</v>
      </c>
      <c r="B242" s="779"/>
      <c r="C242" s="779"/>
      <c r="D242" s="779"/>
      <c r="E242" s="779"/>
      <c r="F242" s="779"/>
      <c r="G242" s="779"/>
      <c r="H242" s="779"/>
      <c r="I242" s="779"/>
    </row>
    <row r="243" spans="1:9" x14ac:dyDescent="0.2">
      <c r="A243" s="779"/>
      <c r="B243" s="779"/>
      <c r="C243" s="779"/>
      <c r="D243" s="779"/>
      <c r="E243" s="779"/>
      <c r="F243" s="779"/>
      <c r="G243" s="779"/>
      <c r="H243" s="779"/>
      <c r="I243" s="779"/>
    </row>
    <row r="244" spans="1:9" x14ac:dyDescent="0.2">
      <c r="A244" s="779"/>
      <c r="B244" s="779"/>
      <c r="C244" s="779"/>
      <c r="D244" s="779"/>
      <c r="E244" s="779"/>
      <c r="F244" s="779"/>
      <c r="G244" s="779"/>
      <c r="H244" s="779"/>
      <c r="I244" s="779"/>
    </row>
    <row ht="15" r="246" spans="1:9" x14ac:dyDescent="0.25">
      <c r="A246" s="359" t="s">
        <v>684</v>
      </c>
    </row>
    <row r="247" spans="1:9" x14ac:dyDescent="0.2">
      <c r="A247" s="779" t="s">
        <v>685</v>
      </c>
      <c r="B247" s="779"/>
      <c r="C247" s="779"/>
      <c r="D247" s="779"/>
      <c r="E247" s="779"/>
      <c r="F247" s="779"/>
      <c r="G247" s="779"/>
      <c r="H247" s="779"/>
      <c r="I247" s="779"/>
    </row>
    <row r="248" spans="1:9" x14ac:dyDescent="0.2">
      <c r="A248" s="779"/>
      <c r="B248" s="779"/>
      <c r="C248" s="779"/>
      <c r="D248" s="779"/>
      <c r="E248" s="779"/>
      <c r="F248" s="779"/>
      <c r="G248" s="779"/>
      <c r="H248" s="779"/>
      <c r="I248" s="779"/>
    </row>
    <row r="249" spans="1:9" x14ac:dyDescent="0.2">
      <c r="A249" s="779"/>
      <c r="B249" s="779"/>
      <c r="C249" s="779"/>
      <c r="D249" s="779"/>
      <c r="E249" s="779"/>
      <c r="F249" s="779"/>
      <c r="G249" s="779"/>
      <c r="H249" s="779"/>
      <c r="I249" s="779"/>
    </row>
    <row ht="14.25" r="250" spans="1:9" x14ac:dyDescent="0.2">
      <c r="A250" s="351"/>
      <c r="B250" s="351"/>
      <c r="C250" s="351"/>
      <c r="D250" s="351"/>
      <c r="E250" s="351"/>
      <c r="F250" s="351"/>
      <c r="G250" s="351"/>
      <c r="H250" s="351"/>
      <c r="I250" s="351"/>
    </row>
    <row customFormat="1" r="251" s="349" spans="1:9" x14ac:dyDescent="0.2">
      <c r="A251" s="360" t="s">
        <v>491</v>
      </c>
      <c r="B251" s="361" t="s">
        <v>492</v>
      </c>
      <c r="C251" s="360"/>
      <c r="D251" s="361" t="s">
        <v>410</v>
      </c>
      <c r="E251" s="360"/>
      <c r="F251" s="360"/>
      <c r="G251" s="360"/>
      <c r="H251" s="360"/>
      <c r="I251" s="362" t="s">
        <v>494</v>
      </c>
    </row>
    <row customFormat="1" r="252" s="349" spans="1:9" x14ac:dyDescent="0.2">
      <c r="A252" s="337">
        <v>1</v>
      </c>
      <c r="B252" s="361" t="s">
        <v>686</v>
      </c>
      <c r="C252" s="330"/>
      <c r="D252" s="361" t="s">
        <v>496</v>
      </c>
      <c r="E252" s="330"/>
      <c r="F252" s="330"/>
      <c r="G252" s="330"/>
      <c r="H252" s="330"/>
      <c r="I252" s="354">
        <v>1</v>
      </c>
    </row>
    <row customFormat="1" r="253" s="349" spans="1:9" x14ac:dyDescent="0.2">
      <c r="A253" s="337">
        <f>1+A252</f>
      </c>
      <c r="B253" s="361" t="s">
        <v>687</v>
      </c>
      <c r="C253" s="330"/>
      <c r="D253" s="361" t="s">
        <v>502</v>
      </c>
      <c r="E253" s="330"/>
      <c r="F253" s="330"/>
      <c r="G253" s="330"/>
      <c r="H253" s="330"/>
      <c r="I253" s="354">
        <v>1</v>
      </c>
    </row>
    <row customFormat="1" r="254" s="349" spans="1:9" x14ac:dyDescent="0.2">
      <c r="A254" s="337">
        <f>1+A253</f>
      </c>
      <c r="B254" s="361" t="s">
        <v>688</v>
      </c>
      <c r="C254" s="330"/>
      <c r="D254" s="361" t="s">
        <v>499</v>
      </c>
      <c r="E254" s="330"/>
      <c r="F254" s="330"/>
      <c r="G254" s="330"/>
      <c r="H254" s="330"/>
      <c r="I254" s="354">
        <v>1</v>
      </c>
    </row>
    <row customFormat="1" r="255" s="349" spans="1:9" x14ac:dyDescent="0.2">
      <c r="A255" s="337">
        <f>1+A254</f>
      </c>
      <c r="B255" s="361" t="s">
        <v>689</v>
      </c>
      <c r="C255" s="330"/>
      <c r="D255" s="361" t="s">
        <v>503</v>
      </c>
      <c r="E255" s="330"/>
      <c r="F255" s="330"/>
      <c r="G255" s="330"/>
      <c r="H255" s="330"/>
      <c r="I255" s="354">
        <v>1</v>
      </c>
    </row>
    <row customFormat="1" r="256" s="349" spans="1:9" x14ac:dyDescent="0.2"/>
    <row r="257" spans="1:10" x14ac:dyDescent="0.2">
      <c r="A257" s="347"/>
      <c r="B257" s="347"/>
      <c r="C257" s="347"/>
      <c r="D257" s="347"/>
      <c r="E257" s="347"/>
      <c r="F257" s="347"/>
      <c r="G257" s="347"/>
      <c r="H257" s="347"/>
      <c r="I257" s="347"/>
      <c r="J257" s="347"/>
    </row>
    <row ht="13.5" r="258" spans="1:10" x14ac:dyDescent="0.25">
      <c r="A258" s="348" t="s">
        <v>629</v>
      </c>
      <c r="I258" s="330">
        <f>1+I193</f>
      </c>
    </row>
    <row ht="13.5" r="259" spans="1:10" x14ac:dyDescent="0.25">
      <c r="A259" s="348" t="s">
        <v>630</v>
      </c>
    </row>
    <row ht="13.5" r="262" spans="1:10" x14ac:dyDescent="0.25">
      <c r="A262" s="329"/>
      <c r="E262" s="780" t="s">
        <v>608</v>
      </c>
      <c r="F262" s="780"/>
      <c r="G262" s="780"/>
    </row>
    <row ht="13.5" r="263" spans="1:10" x14ac:dyDescent="0.25">
      <c r="A263" s="329"/>
      <c r="B263" s="331"/>
      <c r="E263" s="780"/>
      <c r="F263" s="780"/>
      <c r="G263" s="780"/>
    </row>
    <row ht="13.5" r="264" spans="1:10" x14ac:dyDescent="0.25">
      <c r="A264" s="332"/>
      <c r="B264" s="333" t="s">
        <v>8</v>
      </c>
      <c r="C264" s="332"/>
      <c r="D264" s="332"/>
      <c r="E264" s="332"/>
      <c r="F264" s="332"/>
      <c r="G264" s="332"/>
      <c r="H264" s="332"/>
      <c r="I264" s="332"/>
      <c r="J264" s="332"/>
    </row>
    <row customFormat="1" ht="14.25" r="266" s="349" spans="1:10" x14ac:dyDescent="0.2">
      <c r="A266" s="360" t="s">
        <v>491</v>
      </c>
      <c r="B266" s="361" t="s">
        <v>492</v>
      </c>
      <c r="C266" s="360"/>
      <c r="D266" s="361" t="s">
        <v>410</v>
      </c>
      <c r="E266" s="363"/>
      <c r="F266" s="363"/>
      <c r="G266" s="363"/>
      <c r="H266" s="363"/>
      <c r="I266" s="362" t="s">
        <v>494</v>
      </c>
    </row>
    <row r="267" spans="1:10" x14ac:dyDescent="0.2">
      <c r="A267" s="337">
        <f>1+A255</f>
      </c>
      <c r="B267" s="361" t="s">
        <v>690</v>
      </c>
      <c r="D267" s="361" t="s">
        <v>501</v>
      </c>
      <c r="I267" s="354">
        <v>1</v>
      </c>
    </row>
    <row r="268" spans="1:10" x14ac:dyDescent="0.2">
      <c r="A268" s="337">
        <f ref="A268:A319" si="4" t="shared">1+A267</f>
      </c>
      <c r="B268" s="361" t="s">
        <v>691</v>
      </c>
      <c r="D268" s="361" t="s">
        <v>504</v>
      </c>
      <c r="I268" s="354">
        <v>1</v>
      </c>
    </row>
    <row r="269" spans="1:10" x14ac:dyDescent="0.2">
      <c r="A269" s="337">
        <f si="4" t="shared"/>
      </c>
      <c r="B269" s="361" t="s">
        <v>692</v>
      </c>
      <c r="D269" s="361" t="s">
        <v>506</v>
      </c>
      <c r="I269" s="354">
        <v>1</v>
      </c>
    </row>
    <row r="270" spans="1:10" x14ac:dyDescent="0.2">
      <c r="A270" s="337">
        <f si="4" t="shared"/>
      </c>
      <c r="B270" s="361" t="s">
        <v>693</v>
      </c>
      <c r="D270" s="361" t="s">
        <v>508</v>
      </c>
      <c r="I270" s="354">
        <v>1</v>
      </c>
    </row>
    <row r="271" spans="1:10" x14ac:dyDescent="0.2">
      <c r="A271" s="337">
        <f si="4" t="shared"/>
      </c>
      <c r="B271" s="361" t="s">
        <v>694</v>
      </c>
      <c r="D271" s="361" t="s">
        <v>509</v>
      </c>
      <c r="I271" s="354">
        <v>1</v>
      </c>
    </row>
    <row r="272" spans="1:10" x14ac:dyDescent="0.2">
      <c r="A272" s="337">
        <f si="4" t="shared"/>
      </c>
      <c r="B272" s="361" t="s">
        <v>695</v>
      </c>
      <c r="D272" s="361" t="s">
        <v>510</v>
      </c>
      <c r="I272" s="354">
        <v>1</v>
      </c>
    </row>
    <row r="273" spans="1:9" x14ac:dyDescent="0.2">
      <c r="A273" s="337">
        <f si="4" t="shared"/>
      </c>
      <c r="B273" s="361" t="s">
        <v>696</v>
      </c>
      <c r="D273" s="361" t="s">
        <v>511</v>
      </c>
      <c r="I273" s="354">
        <v>1</v>
      </c>
    </row>
    <row r="274" spans="1:9" x14ac:dyDescent="0.2">
      <c r="A274" s="337">
        <f si="4" t="shared"/>
      </c>
      <c r="B274" s="361" t="s">
        <v>697</v>
      </c>
      <c r="D274" s="361" t="s">
        <v>512</v>
      </c>
      <c r="I274" s="354">
        <v>1</v>
      </c>
    </row>
    <row r="275" spans="1:9" x14ac:dyDescent="0.2">
      <c r="A275" s="337">
        <f si="4" t="shared"/>
      </c>
      <c r="B275" s="361" t="s">
        <v>698</v>
      </c>
      <c r="D275" s="361" t="s">
        <v>514</v>
      </c>
      <c r="I275" s="354">
        <v>1</v>
      </c>
    </row>
    <row r="276" spans="1:9" x14ac:dyDescent="0.2">
      <c r="A276" s="337">
        <f si="4" t="shared"/>
      </c>
      <c r="B276" s="361" t="s">
        <v>699</v>
      </c>
      <c r="D276" s="361" t="s">
        <v>526</v>
      </c>
      <c r="I276" s="354">
        <v>1</v>
      </c>
    </row>
    <row r="277" spans="1:9" x14ac:dyDescent="0.2">
      <c r="A277" s="337">
        <f si="4" t="shared"/>
      </c>
      <c r="B277" s="361" t="s">
        <v>700</v>
      </c>
      <c r="D277" s="361" t="s">
        <v>515</v>
      </c>
      <c r="I277" s="354">
        <v>1</v>
      </c>
    </row>
    <row r="278" spans="1:9" x14ac:dyDescent="0.2">
      <c r="A278" s="337">
        <f si="4" t="shared"/>
      </c>
      <c r="B278" s="361" t="s">
        <v>701</v>
      </c>
      <c r="D278" s="361" t="s">
        <v>516</v>
      </c>
      <c r="I278" s="354">
        <v>1</v>
      </c>
    </row>
    <row r="279" spans="1:9" x14ac:dyDescent="0.2">
      <c r="A279" s="337">
        <f si="4" t="shared"/>
      </c>
      <c r="B279" s="361" t="s">
        <v>702</v>
      </c>
      <c r="D279" s="361" t="s">
        <v>517</v>
      </c>
      <c r="I279" s="354">
        <v>1</v>
      </c>
    </row>
    <row r="280" spans="1:9" x14ac:dyDescent="0.2">
      <c r="A280" s="337">
        <f si="4" t="shared"/>
      </c>
      <c r="B280" s="361" t="s">
        <v>703</v>
      </c>
      <c r="D280" s="361" t="s">
        <v>518</v>
      </c>
      <c r="I280" s="354">
        <v>1</v>
      </c>
    </row>
    <row r="281" spans="1:9" x14ac:dyDescent="0.2">
      <c r="A281" s="337">
        <f si="4" t="shared"/>
      </c>
      <c r="B281" s="361" t="s">
        <v>704</v>
      </c>
      <c r="D281" s="361" t="s">
        <v>519</v>
      </c>
      <c r="I281" s="354">
        <v>1</v>
      </c>
    </row>
    <row r="282" spans="1:9" x14ac:dyDescent="0.2">
      <c r="A282" s="337">
        <f si="4" t="shared"/>
      </c>
      <c r="B282" s="361" t="s">
        <v>705</v>
      </c>
      <c r="D282" s="361" t="s">
        <v>520</v>
      </c>
      <c r="I282" s="354">
        <v>1</v>
      </c>
    </row>
    <row r="283" spans="1:9" x14ac:dyDescent="0.2">
      <c r="A283" s="337">
        <f si="4" t="shared"/>
      </c>
      <c r="B283" s="361" t="s">
        <v>706</v>
      </c>
      <c r="D283" s="361" t="s">
        <v>521</v>
      </c>
      <c r="I283" s="354">
        <v>1</v>
      </c>
    </row>
    <row r="284" spans="1:9" x14ac:dyDescent="0.2">
      <c r="A284" s="337">
        <f si="4" t="shared"/>
      </c>
      <c r="B284" s="361" t="s">
        <v>707</v>
      </c>
      <c r="D284" s="361" t="s">
        <v>522</v>
      </c>
      <c r="I284" s="354">
        <v>1</v>
      </c>
    </row>
    <row r="285" spans="1:9" x14ac:dyDescent="0.2">
      <c r="A285" s="337">
        <f si="4" t="shared"/>
      </c>
      <c r="B285" s="361" t="s">
        <v>708</v>
      </c>
      <c r="D285" s="361" t="s">
        <v>523</v>
      </c>
      <c r="I285" s="354">
        <v>1</v>
      </c>
    </row>
    <row r="286" spans="1:9" x14ac:dyDescent="0.2">
      <c r="A286" s="337">
        <f si="4" t="shared"/>
      </c>
      <c r="B286" s="361" t="s">
        <v>709</v>
      </c>
      <c r="D286" s="361" t="s">
        <v>524</v>
      </c>
      <c r="I286" s="354">
        <v>1</v>
      </c>
    </row>
    <row r="287" spans="1:9" x14ac:dyDescent="0.2">
      <c r="A287" s="337">
        <f si="4" t="shared"/>
      </c>
      <c r="B287" s="361" t="s">
        <v>710</v>
      </c>
      <c r="D287" s="361" t="s">
        <v>525</v>
      </c>
      <c r="I287" s="354">
        <v>1</v>
      </c>
    </row>
    <row r="288" spans="1:9" x14ac:dyDescent="0.2">
      <c r="A288" s="337">
        <f si="4" t="shared"/>
      </c>
      <c r="B288" s="361" t="s">
        <v>711</v>
      </c>
      <c r="D288" s="361" t="s">
        <v>527</v>
      </c>
      <c r="I288" s="354">
        <v>1</v>
      </c>
    </row>
    <row r="289" spans="1:9" x14ac:dyDescent="0.2">
      <c r="A289" s="337">
        <f si="4" t="shared"/>
      </c>
      <c r="B289" s="361" t="s">
        <v>712</v>
      </c>
      <c r="D289" s="361" t="s">
        <v>529</v>
      </c>
      <c r="I289" s="354">
        <v>1</v>
      </c>
    </row>
    <row r="290" spans="1:9" x14ac:dyDescent="0.2">
      <c r="A290" s="337">
        <f si="4" t="shared"/>
      </c>
      <c r="B290" s="361" t="s">
        <v>713</v>
      </c>
      <c r="D290" s="361" t="s">
        <v>530</v>
      </c>
      <c r="I290" s="354">
        <v>1</v>
      </c>
    </row>
    <row r="291" spans="1:9" x14ac:dyDescent="0.2">
      <c r="A291" s="337">
        <f si="4" t="shared"/>
      </c>
      <c r="B291" s="361" t="s">
        <v>714</v>
      </c>
      <c r="D291" s="361" t="s">
        <v>531</v>
      </c>
      <c r="I291" s="354">
        <v>1</v>
      </c>
    </row>
    <row r="292" spans="1:9" x14ac:dyDescent="0.2">
      <c r="A292" s="337">
        <f si="4" t="shared"/>
      </c>
      <c r="B292" s="361" t="s">
        <v>715</v>
      </c>
      <c r="D292" s="361" t="s">
        <v>532</v>
      </c>
      <c r="I292" s="354">
        <v>1</v>
      </c>
    </row>
    <row r="293" spans="1:9" x14ac:dyDescent="0.2">
      <c r="A293" s="337">
        <f si="4" t="shared"/>
      </c>
      <c r="B293" s="361" t="s">
        <v>716</v>
      </c>
      <c r="D293" s="361" t="s">
        <v>533</v>
      </c>
      <c r="I293" s="354">
        <v>1</v>
      </c>
    </row>
    <row r="294" spans="1:9" x14ac:dyDescent="0.2">
      <c r="A294" s="337">
        <f si="4" t="shared"/>
      </c>
      <c r="B294" s="361" t="s">
        <v>717</v>
      </c>
      <c r="D294" s="361" t="s">
        <v>534</v>
      </c>
      <c r="I294" s="354">
        <v>1</v>
      </c>
    </row>
    <row r="295" spans="1:9" x14ac:dyDescent="0.2">
      <c r="A295" s="337">
        <f si="4" t="shared"/>
      </c>
      <c r="B295" s="361" t="s">
        <v>718</v>
      </c>
      <c r="D295" s="361" t="s">
        <v>516</v>
      </c>
      <c r="I295" s="354">
        <v>1</v>
      </c>
    </row>
    <row r="296" spans="1:9" x14ac:dyDescent="0.2">
      <c r="A296" s="337">
        <f si="4" t="shared"/>
      </c>
      <c r="B296" s="361" t="s">
        <v>719</v>
      </c>
      <c r="D296" s="361" t="s">
        <v>501</v>
      </c>
      <c r="I296" s="354">
        <v>1</v>
      </c>
    </row>
    <row r="297" spans="1:9" x14ac:dyDescent="0.2">
      <c r="A297" s="364">
        <f si="4" t="shared"/>
      </c>
      <c r="B297" s="365" t="s">
        <v>720</v>
      </c>
      <c r="C297" s="366"/>
      <c r="D297" s="365" t="s">
        <v>496</v>
      </c>
      <c r="E297" s="366"/>
      <c r="F297" s="366"/>
      <c r="G297" s="366"/>
      <c r="I297" s="354">
        <v>1</v>
      </c>
    </row>
    <row r="298" spans="1:9" x14ac:dyDescent="0.2">
      <c r="A298" s="337">
        <f si="4" t="shared"/>
      </c>
      <c r="B298" s="361" t="s">
        <v>721</v>
      </c>
      <c r="D298" s="361" t="s">
        <v>521</v>
      </c>
      <c r="I298" s="354">
        <v>1</v>
      </c>
    </row>
    <row r="299" spans="1:9" x14ac:dyDescent="0.2">
      <c r="A299" s="337">
        <f si="4" t="shared"/>
      </c>
      <c r="B299" s="361" t="s">
        <v>722</v>
      </c>
      <c r="D299" s="361" t="s">
        <v>535</v>
      </c>
      <c r="I299" s="354">
        <v>1</v>
      </c>
    </row>
    <row r="300" spans="1:9" x14ac:dyDescent="0.2">
      <c r="A300" s="337">
        <f si="4" t="shared"/>
      </c>
      <c r="B300" s="361" t="s">
        <v>723</v>
      </c>
      <c r="D300" s="361" t="s">
        <v>537</v>
      </c>
      <c r="I300" s="354">
        <v>1</v>
      </c>
    </row>
    <row r="301" spans="1:9" x14ac:dyDescent="0.2">
      <c r="A301" s="337">
        <f si="4" t="shared"/>
      </c>
      <c r="B301" s="361" t="s">
        <v>724</v>
      </c>
      <c r="D301" s="361" t="s">
        <v>538</v>
      </c>
      <c r="I301" s="354">
        <v>1</v>
      </c>
    </row>
    <row r="302" spans="1:9" x14ac:dyDescent="0.2">
      <c r="A302" s="337">
        <f si="4" t="shared"/>
      </c>
      <c r="B302" s="361" t="s">
        <v>725</v>
      </c>
      <c r="D302" s="361" t="s">
        <v>542</v>
      </c>
      <c r="I302" s="354">
        <v>1</v>
      </c>
    </row>
    <row r="303" spans="1:9" x14ac:dyDescent="0.2">
      <c r="A303" s="337">
        <f si="4" t="shared"/>
      </c>
      <c r="B303" s="361" t="s">
        <v>726</v>
      </c>
      <c r="D303" s="361" t="s">
        <v>555</v>
      </c>
      <c r="I303" s="354">
        <v>1</v>
      </c>
    </row>
    <row r="304" spans="1:9" x14ac:dyDescent="0.2">
      <c r="A304" s="337">
        <f si="4" t="shared"/>
      </c>
      <c r="B304" s="361" t="s">
        <v>727</v>
      </c>
      <c r="D304" s="361" t="s">
        <v>540</v>
      </c>
      <c r="I304" s="354">
        <v>1</v>
      </c>
    </row>
    <row r="305" spans="1:9" x14ac:dyDescent="0.2">
      <c r="A305" s="337">
        <f si="4" t="shared"/>
      </c>
      <c r="B305" s="361" t="s">
        <v>728</v>
      </c>
      <c r="D305" s="361" t="s">
        <v>543</v>
      </c>
      <c r="I305" s="354">
        <v>1</v>
      </c>
    </row>
    <row r="306" spans="1:9" x14ac:dyDescent="0.2">
      <c r="A306" s="337">
        <f si="4" t="shared"/>
      </c>
      <c r="B306" s="361" t="s">
        <v>729</v>
      </c>
      <c r="D306" s="361" t="s">
        <v>556</v>
      </c>
      <c r="I306" s="354">
        <v>1</v>
      </c>
    </row>
    <row r="307" spans="1:9" x14ac:dyDescent="0.2">
      <c r="A307" s="337">
        <f si="4" t="shared"/>
      </c>
      <c r="B307" s="361" t="s">
        <v>730</v>
      </c>
      <c r="D307" s="361" t="s">
        <v>541</v>
      </c>
      <c r="I307" s="354">
        <v>1</v>
      </c>
    </row>
    <row r="308" spans="1:9" x14ac:dyDescent="0.2">
      <c r="A308" s="337">
        <f si="4" t="shared"/>
      </c>
      <c r="B308" s="361" t="s">
        <v>731</v>
      </c>
      <c r="D308" s="361" t="s">
        <v>544</v>
      </c>
      <c r="I308" s="354">
        <v>1</v>
      </c>
    </row>
    <row r="309" spans="1:9" x14ac:dyDescent="0.2">
      <c r="A309" s="337">
        <f si="4" t="shared"/>
      </c>
      <c r="B309" s="361" t="s">
        <v>732</v>
      </c>
      <c r="D309" s="361" t="s">
        <v>545</v>
      </c>
      <c r="I309" s="354">
        <v>1</v>
      </c>
    </row>
    <row r="310" spans="1:9" x14ac:dyDescent="0.2">
      <c r="A310" s="337">
        <f si="4" t="shared"/>
      </c>
      <c r="B310" s="361" t="s">
        <v>733</v>
      </c>
      <c r="D310" s="361" t="s">
        <v>546</v>
      </c>
      <c r="I310" s="354">
        <v>1</v>
      </c>
    </row>
    <row r="311" spans="1:9" x14ac:dyDescent="0.2">
      <c r="A311" s="337">
        <f si="4" t="shared"/>
      </c>
      <c r="B311" s="361" t="s">
        <v>734</v>
      </c>
      <c r="D311" s="361" t="s">
        <v>547</v>
      </c>
      <c r="I311" s="354">
        <v>1</v>
      </c>
    </row>
    <row r="312" spans="1:9" x14ac:dyDescent="0.2">
      <c r="A312" s="337">
        <f si="4" t="shared"/>
      </c>
      <c r="B312" s="361" t="s">
        <v>735</v>
      </c>
      <c r="D312" s="361" t="s">
        <v>548</v>
      </c>
      <c r="I312" s="354">
        <v>1</v>
      </c>
    </row>
    <row r="313" spans="1:9" x14ac:dyDescent="0.2">
      <c r="A313" s="337">
        <f si="4" t="shared"/>
      </c>
      <c r="B313" s="361" t="s">
        <v>736</v>
      </c>
      <c r="D313" s="361" t="s">
        <v>549</v>
      </c>
      <c r="I313" s="354">
        <v>1</v>
      </c>
    </row>
    <row r="314" spans="1:9" x14ac:dyDescent="0.2">
      <c r="A314" s="337">
        <f si="4" t="shared"/>
      </c>
      <c r="B314" s="361" t="s">
        <v>737</v>
      </c>
      <c r="D314" s="361" t="s">
        <v>550</v>
      </c>
      <c r="I314" s="354">
        <v>1</v>
      </c>
    </row>
    <row r="315" spans="1:9" x14ac:dyDescent="0.2">
      <c r="A315" s="337">
        <f si="4" t="shared"/>
      </c>
      <c r="B315" s="361" t="s">
        <v>738</v>
      </c>
      <c r="D315" s="361" t="s">
        <v>551</v>
      </c>
      <c r="I315" s="354">
        <v>1</v>
      </c>
    </row>
    <row r="316" spans="1:9" x14ac:dyDescent="0.2">
      <c r="A316" s="337">
        <f si="4" t="shared"/>
      </c>
      <c r="B316" s="361" t="s">
        <v>739</v>
      </c>
      <c r="D316" s="361" t="s">
        <v>552</v>
      </c>
      <c r="I316" s="354">
        <v>1</v>
      </c>
    </row>
    <row r="317" spans="1:9" x14ac:dyDescent="0.2">
      <c r="A317" s="337">
        <f si="4" t="shared"/>
      </c>
      <c r="B317" s="361" t="s">
        <v>740</v>
      </c>
      <c r="D317" s="361" t="s">
        <v>553</v>
      </c>
      <c r="I317" s="354">
        <v>1</v>
      </c>
    </row>
    <row r="318" spans="1:9" x14ac:dyDescent="0.2">
      <c r="A318" s="337">
        <f si="4" t="shared"/>
      </c>
      <c r="B318" s="361" t="s">
        <v>741</v>
      </c>
      <c r="D318" s="361" t="s">
        <v>554</v>
      </c>
      <c r="I318" s="354">
        <v>1</v>
      </c>
    </row>
    <row r="319" spans="1:9" x14ac:dyDescent="0.2">
      <c r="A319" s="337">
        <f si="4" t="shared"/>
      </c>
      <c r="B319" s="361" t="s">
        <v>742</v>
      </c>
      <c r="D319" s="361" t="s">
        <v>557</v>
      </c>
      <c r="I319" s="354">
        <v>1</v>
      </c>
    </row>
    <row r="322" spans="1:10" x14ac:dyDescent="0.2">
      <c r="A322" s="347"/>
      <c r="B322" s="347"/>
      <c r="C322" s="347"/>
      <c r="D322" s="347"/>
      <c r="E322" s="347"/>
      <c r="F322" s="347"/>
      <c r="G322" s="347"/>
      <c r="H322" s="347"/>
      <c r="I322" s="347"/>
      <c r="J322" s="347"/>
    </row>
    <row ht="13.5" r="323" spans="1:10" x14ac:dyDescent="0.25">
      <c r="A323" s="348" t="s">
        <v>629</v>
      </c>
      <c r="I323" s="330">
        <f>1+I258</f>
      </c>
    </row>
    <row ht="13.5" r="324" spans="1:10" x14ac:dyDescent="0.25">
      <c r="A324" s="348" t="s">
        <v>630</v>
      </c>
    </row>
    <row ht="13.5" r="327" spans="1:10" x14ac:dyDescent="0.25">
      <c r="A327" s="329"/>
      <c r="E327" s="780" t="s">
        <v>608</v>
      </c>
      <c r="F327" s="780"/>
      <c r="G327" s="780"/>
    </row>
    <row ht="13.5" r="328" spans="1:10" x14ac:dyDescent="0.25">
      <c r="A328" s="329"/>
      <c r="B328" s="331"/>
      <c r="E328" s="780"/>
      <c r="F328" s="780"/>
      <c r="G328" s="780"/>
    </row>
    <row ht="13.5" r="329" spans="1:10" x14ac:dyDescent="0.25">
      <c r="A329" s="332"/>
      <c r="B329" s="333" t="s">
        <v>8</v>
      </c>
      <c r="C329" s="332"/>
      <c r="D329" s="332"/>
      <c r="E329" s="332"/>
      <c r="F329" s="332"/>
      <c r="G329" s="332"/>
      <c r="H329" s="332"/>
      <c r="I329" s="332"/>
      <c r="J329" s="332"/>
    </row>
    <row r="330" spans="1:10" x14ac:dyDescent="0.2">
      <c r="A330" s="337"/>
      <c r="B330" s="361"/>
      <c r="D330" s="361"/>
      <c r="I330" s="354"/>
    </row>
    <row customFormat="1" ht="14.25" r="331" s="349" spans="1:10" x14ac:dyDescent="0.2">
      <c r="A331" s="360" t="s">
        <v>491</v>
      </c>
      <c r="B331" s="361" t="s">
        <v>492</v>
      </c>
      <c r="C331" s="360"/>
      <c r="D331" s="361" t="s">
        <v>410</v>
      </c>
      <c r="E331" s="363"/>
      <c r="F331" s="363"/>
      <c r="G331" s="363"/>
      <c r="H331" s="363"/>
      <c r="I331" s="362" t="s">
        <v>494</v>
      </c>
    </row>
    <row customFormat="1" r="332" s="349" spans="1:10" x14ac:dyDescent="0.2">
      <c r="A332" s="337">
        <f>1+A319</f>
      </c>
      <c r="B332" s="361" t="s">
        <v>743</v>
      </c>
      <c r="C332" s="330"/>
      <c r="D332" s="361" t="s">
        <v>559</v>
      </c>
      <c r="E332" s="330"/>
      <c r="F332" s="330"/>
      <c r="G332" s="330"/>
      <c r="H332" s="330"/>
      <c r="I332" s="354">
        <v>0.6</v>
      </c>
    </row>
    <row r="333" spans="1:10" x14ac:dyDescent="0.2">
      <c r="A333" s="337">
        <f>1+A332</f>
      </c>
      <c r="B333" s="361" t="s">
        <v>744</v>
      </c>
      <c r="D333" s="361" t="s">
        <v>561</v>
      </c>
      <c r="I333" s="354">
        <v>0.6</v>
      </c>
    </row>
    <row r="334" spans="1:10" x14ac:dyDescent="0.2">
      <c r="A334" s="337">
        <f>1+A333</f>
      </c>
      <c r="B334" s="361" t="s">
        <v>745</v>
      </c>
      <c r="D334" s="361" t="s">
        <v>562</v>
      </c>
      <c r="I334" s="354">
        <v>0.6</v>
      </c>
    </row>
    <row r="335" spans="1:10" x14ac:dyDescent="0.2">
      <c r="A335" s="337">
        <f ref="A335:A367" si="5" t="shared">1+A334</f>
      </c>
      <c r="B335" s="361" t="s">
        <v>746</v>
      </c>
      <c r="D335" s="361" t="s">
        <v>563</v>
      </c>
      <c r="I335" s="354">
        <v>0.6</v>
      </c>
    </row>
    <row r="336" spans="1:10" x14ac:dyDescent="0.2">
      <c r="A336" s="337">
        <f si="5" t="shared"/>
      </c>
      <c r="B336" s="361" t="s">
        <v>747</v>
      </c>
      <c r="D336" s="361" t="s">
        <v>565</v>
      </c>
      <c r="I336" s="354">
        <v>0.6</v>
      </c>
    </row>
    <row r="337" spans="1:9" x14ac:dyDescent="0.2">
      <c r="A337" s="337">
        <f si="5" t="shared"/>
      </c>
      <c r="B337" s="361" t="s">
        <v>748</v>
      </c>
      <c r="D337" s="361" t="s">
        <v>566</v>
      </c>
      <c r="I337" s="354">
        <v>0.6</v>
      </c>
    </row>
    <row r="338" spans="1:9" x14ac:dyDescent="0.2">
      <c r="A338" s="337">
        <f si="5" t="shared"/>
      </c>
      <c r="B338" s="361" t="s">
        <v>749</v>
      </c>
      <c r="D338" s="361" t="s">
        <v>567</v>
      </c>
      <c r="I338" s="354">
        <v>0.6</v>
      </c>
    </row>
    <row r="339" spans="1:9" x14ac:dyDescent="0.2">
      <c r="A339" s="337">
        <f si="5" t="shared"/>
      </c>
      <c r="B339" s="361" t="s">
        <v>750</v>
      </c>
      <c r="D339" s="361" t="s">
        <v>568</v>
      </c>
      <c r="I339" s="354">
        <v>0.6</v>
      </c>
    </row>
    <row r="340" spans="1:9" x14ac:dyDescent="0.2">
      <c r="A340" s="337">
        <f si="5" t="shared"/>
      </c>
      <c r="B340" s="361" t="s">
        <v>751</v>
      </c>
      <c r="D340" s="361" t="s">
        <v>570</v>
      </c>
      <c r="I340" s="354">
        <v>0.6</v>
      </c>
    </row>
    <row r="341" spans="1:9" x14ac:dyDescent="0.2">
      <c r="A341" s="337">
        <f si="5" t="shared"/>
      </c>
      <c r="B341" s="361" t="s">
        <v>752</v>
      </c>
      <c r="D341" s="361" t="s">
        <v>571</v>
      </c>
      <c r="I341" s="354">
        <v>0.6</v>
      </c>
    </row>
    <row r="342" spans="1:9" x14ac:dyDescent="0.2">
      <c r="A342" s="337">
        <f si="5" t="shared"/>
      </c>
      <c r="B342" s="361" t="s">
        <v>753</v>
      </c>
      <c r="D342" s="361" t="s">
        <v>569</v>
      </c>
      <c r="I342" s="354">
        <v>0.6</v>
      </c>
    </row>
    <row r="343" spans="1:9" x14ac:dyDescent="0.2">
      <c r="A343" s="337">
        <f si="5" t="shared"/>
      </c>
      <c r="B343" s="361" t="s">
        <v>754</v>
      </c>
      <c r="D343" s="361" t="s">
        <v>572</v>
      </c>
      <c r="I343" s="354">
        <v>0.6</v>
      </c>
    </row>
    <row r="344" spans="1:9" x14ac:dyDescent="0.2">
      <c r="A344" s="337">
        <f si="5" t="shared"/>
      </c>
      <c r="B344" s="361" t="s">
        <v>755</v>
      </c>
      <c r="D344" s="361" t="s">
        <v>573</v>
      </c>
      <c r="I344" s="354">
        <v>0.6</v>
      </c>
    </row>
    <row r="345" spans="1:9" x14ac:dyDescent="0.2">
      <c r="A345" s="337">
        <f si="5" t="shared"/>
      </c>
      <c r="B345" s="361" t="s">
        <v>756</v>
      </c>
      <c r="D345" s="361" t="s">
        <v>574</v>
      </c>
      <c r="I345" s="354">
        <v>0.6</v>
      </c>
    </row>
    <row r="346" spans="1:9" x14ac:dyDescent="0.2">
      <c r="A346" s="337">
        <f si="5" t="shared"/>
      </c>
      <c r="B346" s="361" t="s">
        <v>757</v>
      </c>
      <c r="D346" s="361" t="s">
        <v>279</v>
      </c>
      <c r="I346" s="354">
        <v>0.6</v>
      </c>
    </row>
    <row r="347" spans="1:9" x14ac:dyDescent="0.2">
      <c r="A347" s="337">
        <f si="5" t="shared"/>
      </c>
      <c r="B347" s="361" t="s">
        <v>758</v>
      </c>
      <c r="D347" s="361" t="s">
        <v>283</v>
      </c>
      <c r="I347" s="354">
        <v>0.6</v>
      </c>
    </row>
    <row r="348" spans="1:9" x14ac:dyDescent="0.2">
      <c r="A348" s="337">
        <f si="5" t="shared"/>
      </c>
      <c r="B348" s="361" t="s">
        <v>759</v>
      </c>
      <c r="D348" s="361" t="s">
        <v>576</v>
      </c>
      <c r="I348" s="354">
        <v>0.6</v>
      </c>
    </row>
    <row r="349" spans="1:9" x14ac:dyDescent="0.2">
      <c r="A349" s="337">
        <f si="5" t="shared"/>
      </c>
      <c r="B349" s="361" t="s">
        <v>760</v>
      </c>
      <c r="D349" s="361" t="s">
        <v>577</v>
      </c>
      <c r="I349" s="354">
        <v>0.6</v>
      </c>
    </row>
    <row r="350" spans="1:9" x14ac:dyDescent="0.2">
      <c r="A350" s="337">
        <f si="5" t="shared"/>
      </c>
      <c r="B350" s="361" t="s">
        <v>761</v>
      </c>
      <c r="D350" s="361" t="s">
        <v>578</v>
      </c>
      <c r="I350" s="354">
        <v>0.6</v>
      </c>
    </row>
    <row r="351" spans="1:9" x14ac:dyDescent="0.2">
      <c r="A351" s="337">
        <f si="5" t="shared"/>
      </c>
      <c r="B351" s="361" t="s">
        <v>762</v>
      </c>
      <c r="D351" s="361" t="s">
        <v>579</v>
      </c>
      <c r="I351" s="354">
        <v>0.6</v>
      </c>
    </row>
    <row r="352" spans="1:9" x14ac:dyDescent="0.2">
      <c r="A352" s="337">
        <f si="5" t="shared"/>
      </c>
      <c r="B352" s="361" t="s">
        <v>763</v>
      </c>
      <c r="D352" s="361" t="s">
        <v>580</v>
      </c>
      <c r="I352" s="354">
        <v>0.6</v>
      </c>
    </row>
    <row r="353" spans="1:9" x14ac:dyDescent="0.2">
      <c r="A353" s="337">
        <f si="5" t="shared"/>
      </c>
      <c r="B353" s="361" t="s">
        <v>764</v>
      </c>
      <c r="D353" s="361" t="s">
        <v>581</v>
      </c>
      <c r="I353" s="354">
        <v>0.6</v>
      </c>
    </row>
    <row r="354" spans="1:9" x14ac:dyDescent="0.2">
      <c r="A354" s="337">
        <f si="5" t="shared"/>
      </c>
      <c r="B354" s="361" t="s">
        <v>765</v>
      </c>
      <c r="D354" s="361" t="s">
        <v>582</v>
      </c>
      <c r="I354" s="354">
        <v>0.6</v>
      </c>
    </row>
    <row r="355" spans="1:9" x14ac:dyDescent="0.2">
      <c r="A355" s="337">
        <f si="5" t="shared"/>
      </c>
      <c r="B355" s="361" t="s">
        <v>766</v>
      </c>
      <c r="D355" s="361" t="s">
        <v>585</v>
      </c>
      <c r="I355" s="354">
        <v>0.4</v>
      </c>
    </row>
    <row r="356" spans="1:9" x14ac:dyDescent="0.2">
      <c r="A356" s="337">
        <f si="5" t="shared"/>
      </c>
      <c r="B356" s="361" t="s">
        <v>767</v>
      </c>
      <c r="D356" s="361" t="s">
        <v>587</v>
      </c>
      <c r="I356" s="354">
        <v>0.4</v>
      </c>
    </row>
    <row r="357" spans="1:9" x14ac:dyDescent="0.2">
      <c r="A357" s="337">
        <f si="5" t="shared"/>
      </c>
      <c r="B357" s="361" t="s">
        <v>768</v>
      </c>
      <c r="D357" s="361" t="s">
        <v>590</v>
      </c>
      <c r="I357" s="354">
        <v>0.4</v>
      </c>
    </row>
    <row r="358" spans="1:9" x14ac:dyDescent="0.2">
      <c r="A358" s="337">
        <f si="5" t="shared"/>
      </c>
      <c r="B358" s="361" t="s">
        <v>769</v>
      </c>
      <c r="D358" s="361" t="s">
        <v>592</v>
      </c>
      <c r="I358" s="354">
        <v>0.4</v>
      </c>
    </row>
    <row r="359" spans="1:9" x14ac:dyDescent="0.2">
      <c r="A359" s="337">
        <f si="5" t="shared"/>
      </c>
      <c r="B359" s="361" t="s">
        <v>770</v>
      </c>
      <c r="D359" s="361" t="s">
        <v>593</v>
      </c>
      <c r="I359" s="354">
        <v>0.4</v>
      </c>
    </row>
    <row r="360" spans="1:9" x14ac:dyDescent="0.2">
      <c r="A360" s="337">
        <f si="5" t="shared"/>
      </c>
      <c r="B360" s="361" t="s">
        <v>771</v>
      </c>
      <c r="D360" s="361" t="s">
        <v>594</v>
      </c>
      <c r="I360" s="354">
        <v>0.4</v>
      </c>
    </row>
    <row r="361" spans="1:9" x14ac:dyDescent="0.2">
      <c r="A361" s="337">
        <f si="5" t="shared"/>
      </c>
      <c r="B361" s="361" t="s">
        <v>772</v>
      </c>
      <c r="D361" s="361" t="s">
        <v>595</v>
      </c>
      <c r="I361" s="354">
        <v>0.4</v>
      </c>
    </row>
    <row r="362" spans="1:9" x14ac:dyDescent="0.2">
      <c r="A362" s="337">
        <f si="5" t="shared"/>
      </c>
      <c r="B362" s="361" t="s">
        <v>773</v>
      </c>
      <c r="D362" s="361" t="s">
        <v>596</v>
      </c>
      <c r="I362" s="354">
        <v>0</v>
      </c>
    </row>
    <row r="363" spans="1:9" x14ac:dyDescent="0.2">
      <c r="A363" s="337">
        <f si="5" t="shared"/>
      </c>
      <c r="B363" s="361" t="s">
        <v>774</v>
      </c>
      <c r="D363" s="361" t="s">
        <v>599</v>
      </c>
      <c r="I363" s="354">
        <v>0</v>
      </c>
    </row>
    <row r="364" spans="1:9" x14ac:dyDescent="0.2">
      <c r="A364" s="337">
        <f si="5" t="shared"/>
      </c>
      <c r="B364" s="361" t="s">
        <v>775</v>
      </c>
      <c r="D364" s="361" t="s">
        <v>600</v>
      </c>
      <c r="I364" s="354">
        <v>0</v>
      </c>
    </row>
    <row r="365" spans="1:9" x14ac:dyDescent="0.2">
      <c r="A365" s="337">
        <f si="5" t="shared"/>
      </c>
      <c r="B365" s="361" t="s">
        <v>776</v>
      </c>
      <c r="D365" s="361" t="s">
        <v>601</v>
      </c>
      <c r="I365" s="354">
        <v>0</v>
      </c>
    </row>
    <row r="366" spans="1:9" x14ac:dyDescent="0.2">
      <c r="A366" s="337">
        <f si="5" t="shared"/>
      </c>
      <c r="B366" s="361" t="s">
        <v>777</v>
      </c>
      <c r="D366" s="361" t="s">
        <v>602</v>
      </c>
      <c r="I366" s="354">
        <v>0</v>
      </c>
    </row>
    <row r="367" spans="1:9" x14ac:dyDescent="0.2">
      <c r="A367" s="337">
        <f si="5" t="shared"/>
      </c>
      <c r="B367" s="361" t="s">
        <v>778</v>
      </c>
      <c r="D367" s="361" t="s">
        <v>607</v>
      </c>
      <c r="I367" s="354">
        <v>0</v>
      </c>
    </row>
    <row r="387" spans="1:10" x14ac:dyDescent="0.2">
      <c r="A387" s="347"/>
      <c r="B387" s="347"/>
      <c r="C387" s="347"/>
      <c r="D387" s="347"/>
      <c r="E387" s="347"/>
      <c r="F387" s="347"/>
      <c r="G387" s="347"/>
      <c r="H387" s="347"/>
      <c r="I387" s="347"/>
      <c r="J387" s="347"/>
    </row>
    <row ht="13.5" r="388" spans="1:10" x14ac:dyDescent="0.25">
      <c r="A388" s="348" t="s">
        <v>629</v>
      </c>
      <c r="I388" s="330">
        <f>1+I323</f>
      </c>
    </row>
    <row ht="13.5" r="389" spans="1:10" x14ac:dyDescent="0.25">
      <c r="A389" s="348" t="s">
        <v>630</v>
      </c>
    </row>
  </sheetData>
  <mergeCells count="95">
    <mergeCell ref="B49:I49"/>
    <mergeCell ref="E2:G3"/>
    <mergeCell ref="A6:I6"/>
    <mergeCell ref="A8:I8"/>
    <mergeCell ref="A12:I13"/>
    <mergeCell ref="A17:I19"/>
    <mergeCell ref="A21:I24"/>
    <mergeCell ref="A26:I28"/>
    <mergeCell ref="A30:I33"/>
    <mergeCell ref="A39:I40"/>
    <mergeCell ref="A42:I45"/>
    <mergeCell ref="B48:I48"/>
    <mergeCell ref="B81:I82"/>
    <mergeCell ref="A50:B52"/>
    <mergeCell ref="C50:I50"/>
    <mergeCell ref="A53:B53"/>
    <mergeCell ref="A54:B54"/>
    <mergeCell ref="A55:B55"/>
    <mergeCell ref="A56:B56"/>
    <mergeCell ref="A57:B57"/>
    <mergeCell ref="A59:I60"/>
    <mergeCell ref="E67:G68"/>
    <mergeCell ref="B71:I75"/>
    <mergeCell ref="B77:I79"/>
    <mergeCell ref="B108:H108"/>
    <mergeCell ref="B87:H87"/>
    <mergeCell ref="B88:H88"/>
    <mergeCell ref="A89:B91"/>
    <mergeCell ref="C89:H89"/>
    <mergeCell ref="A92:B92"/>
    <mergeCell ref="A93:B93"/>
    <mergeCell ref="A94:B94"/>
    <mergeCell ref="A95:B95"/>
    <mergeCell ref="A96:B96"/>
    <mergeCell ref="B98:I99"/>
    <mergeCell ref="B101:I103"/>
    <mergeCell ref="B138:I138"/>
    <mergeCell ref="B109:H109"/>
    <mergeCell ref="A110:B112"/>
    <mergeCell ref="C110:H110"/>
    <mergeCell ref="A113:B113"/>
    <mergeCell ref="A114:B114"/>
    <mergeCell ref="A115:B115"/>
    <mergeCell ref="A116:B116"/>
    <mergeCell ref="A117:B117"/>
    <mergeCell ref="B119:I121"/>
    <mergeCell ref="E132:G133"/>
    <mergeCell ref="B137:I13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C209:I210"/>
    <mergeCell ref="A169:B169"/>
    <mergeCell ref="A170:B170"/>
    <mergeCell ref="A171:B171"/>
    <mergeCell ref="A172:B172"/>
    <mergeCell ref="A173:B173"/>
    <mergeCell ref="B175:I176"/>
    <mergeCell ref="C178:I179"/>
    <mergeCell ref="C181:I183"/>
    <mergeCell ref="A187:I188"/>
    <mergeCell ref="E197:G198"/>
    <mergeCell ref="C205:I207"/>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A239:I240"/>
    <mergeCell ref="A242:I244"/>
    <mergeCell ref="A247:I249"/>
    <mergeCell ref="E262:G263"/>
    <mergeCell ref="E327:G328"/>
  </mergeCells>
  <pageMargins bottom="0.75" footer="0.3" header="0.3" left="0.7" right="0.7" top="0.75"/>
  <drawing r:id="rId1"/>
  <legacyDrawing r:id="rId2"/>
  <oleObjects>
    <mc:AlternateContent>
      <mc:Choice Requires="x14">
        <oleObject progId="Word.Picture.8" r:id="rId3" shapeId="8193">
          <objectPr autoPict="0" defaultSize="0" r:id="rId4">
            <anchor moveWithCells="1" sizeWithCells="1">
              <from>
                <xdr:col>7</xdr:col>
                <xdr:colOff>409575</xdr:colOff>
                <xdr:row>1</xdr:row>
                <xdr:rowOff>66675</xdr:rowOff>
              </from>
              <to>
                <xdr:col>8</xdr:col>
                <xdr:colOff>466725</xdr:colOff>
                <xdr:row>2</xdr:row>
                <xdr:rowOff>152400</xdr:rowOff>
              </to>
            </anchor>
          </objectPr>
        </oleObject>
      </mc:Choice>
      <mc:Fallback>
        <oleObject progId="Word.Picture.8" r:id="rId3" shapeId="8193"/>
      </mc:Fallback>
    </mc:AlternateContent>
    <mc:AlternateContent>
      <mc:Choice Requires="x14">
        <oleObject progId="Word.Picture.8" r:id="rId5" shapeId="8194">
          <objectPr autoPict="0" defaultSize="0" r:id="rId4">
            <anchor moveWithCells="1" sizeWithCells="1">
              <from>
                <xdr:col>7</xdr:col>
                <xdr:colOff>409575</xdr:colOff>
                <xdr:row>66</xdr:row>
                <xdr:rowOff>66675</xdr:rowOff>
              </from>
              <to>
                <xdr:col>8</xdr:col>
                <xdr:colOff>466725</xdr:colOff>
                <xdr:row>67</xdr:row>
                <xdr:rowOff>152400</xdr:rowOff>
              </to>
            </anchor>
          </objectPr>
        </oleObject>
      </mc:Choice>
      <mc:Fallback>
        <oleObject progId="Word.Picture.8" r:id="rId5" shapeId="8194"/>
      </mc:Fallback>
    </mc:AlternateContent>
    <mc:AlternateContent>
      <mc:Choice Requires="x14">
        <oleObject progId="Word.Picture.8" r:id="rId6" shapeId="8195">
          <objectPr autoPict="0" defaultSize="0" r:id="rId4">
            <anchor moveWithCells="1" sizeWithCells="1">
              <from>
                <xdr:col>7</xdr:col>
                <xdr:colOff>514350</xdr:colOff>
                <xdr:row>131</xdr:row>
                <xdr:rowOff>28575</xdr:rowOff>
              </from>
              <to>
                <xdr:col>8</xdr:col>
                <xdr:colOff>466725</xdr:colOff>
                <xdr:row>132</xdr:row>
                <xdr:rowOff>152400</xdr:rowOff>
              </to>
            </anchor>
          </objectPr>
        </oleObject>
      </mc:Choice>
      <mc:Fallback>
        <oleObject progId="Word.Picture.8" r:id="rId6" shapeId="8195"/>
      </mc:Fallback>
    </mc:AlternateContent>
    <mc:AlternateContent>
      <mc:Choice Requires="x14">
        <oleObject progId="Word.Picture.8" r:id="rId7" shapeId="8196">
          <objectPr autoPict="0" defaultSize="0" r:id="rId4">
            <anchor moveWithCells="1" sizeWithCells="1">
              <from>
                <xdr:col>7</xdr:col>
                <xdr:colOff>409575</xdr:colOff>
                <xdr:row>261</xdr:row>
                <xdr:rowOff>66675</xdr:rowOff>
              </from>
              <to>
                <xdr:col>8</xdr:col>
                <xdr:colOff>466725</xdr:colOff>
                <xdr:row>262</xdr:row>
                <xdr:rowOff>152400</xdr:rowOff>
              </to>
            </anchor>
          </objectPr>
        </oleObject>
      </mc:Choice>
      <mc:Fallback>
        <oleObject progId="Word.Picture.8" r:id="rId7" shapeId="8196"/>
      </mc:Fallback>
    </mc:AlternateContent>
    <mc:AlternateContent>
      <mc:Choice Requires="x14">
        <oleObject progId="Word.Picture.8" r:id="rId8" shapeId="8197">
          <objectPr autoPict="0" defaultSize="0" r:id="rId4">
            <anchor moveWithCells="1" sizeWithCells="1">
              <from>
                <xdr:col>7</xdr:col>
                <xdr:colOff>409575</xdr:colOff>
                <xdr:row>196</xdr:row>
                <xdr:rowOff>66675</xdr:rowOff>
              </from>
              <to>
                <xdr:col>8</xdr:col>
                <xdr:colOff>466725</xdr:colOff>
                <xdr:row>197</xdr:row>
                <xdr:rowOff>152400</xdr:rowOff>
              </to>
            </anchor>
          </objectPr>
        </oleObject>
      </mc:Choice>
      <mc:Fallback>
        <oleObject progId="Word.Picture.8" r:id="rId8" shapeId="8197"/>
      </mc:Fallback>
    </mc:AlternateContent>
    <mc:AlternateContent>
      <mc:Choice Requires="x14">
        <oleObject progId="Word.Picture.8" r:id="rId9" shapeId="8198">
          <objectPr autoPict="0" defaultSize="0" r:id="rId4">
            <anchor moveWithCells="1" sizeWithCells="1">
              <from>
                <xdr:col>7</xdr:col>
                <xdr:colOff>409575</xdr:colOff>
                <xdr:row>326</xdr:row>
                <xdr:rowOff>66675</xdr:rowOff>
              </from>
              <to>
                <xdr:col>8</xdr:col>
                <xdr:colOff>466725</xdr:colOff>
                <xdr:row>327</xdr:row>
                <xdr:rowOff>152400</xdr:rowOff>
              </to>
            </anchor>
          </objectPr>
        </oleObject>
      </mc:Choice>
      <mc:Fallback>
        <oleObject progId="Word.Picture.8" r:id="rId9" shapeId="8198"/>
      </mc:Fallback>
    </mc:AlternateContent>
  </oleObjects>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5" x14ac:dyDescent="0.25"/>
  <cols>
    <col bestFit="1" customWidth="1" max="2" min="2" width="21.7109375"/>
    <col bestFit="1" customWidth="1" max="3" min="3" width="18.5703125"/>
  </cols>
  <sheetData>
    <row ht="15.75" r="1" spans="2:3" thickBot="1" x14ac:dyDescent="0.3"/>
    <row ht="15.75" r="2" spans="2:3" thickBot="1" x14ac:dyDescent="0.3">
      <c r="B2" s="810" t="s">
        <v>779</v>
      </c>
      <c r="C2" s="811"/>
    </row>
    <row ht="15.75" r="3" spans="2:3" thickBot="1" x14ac:dyDescent="0.3">
      <c r="B3" s="371" t="s">
        <v>780</v>
      </c>
      <c r="C3" s="372" t="str">
        <f>+'A-D.- FICHA'!J20</f>
      </c>
    </row>
    <row ht="15.75" r="4" spans="2:3" thickBot="1" x14ac:dyDescent="0.3">
      <c r="B4" s="371" t="s">
        <v>781</v>
      </c>
      <c r="C4" s="372" t="str">
        <f>+'A-D.- FICHA'!J18</f>
      </c>
    </row>
    <row ht="15.75" r="5" spans="2:3" thickBot="1" x14ac:dyDescent="0.3">
      <c r="B5" s="371" t="s">
        <v>782</v>
      </c>
      <c r="C5" s="372" t="str">
        <f>+'A-D.- FICHA'!J14</f>
      </c>
    </row>
    <row ht="15.75" r="6" spans="2:3" thickBot="1" x14ac:dyDescent="0.3">
      <c r="B6" s="371" t="s">
        <v>783</v>
      </c>
      <c r="C6" s="372" t="str">
        <f>+'A-D.- FICHA'!J16</f>
      </c>
    </row>
    <row ht="15.75" r="7" spans="2:3" thickBot="1" x14ac:dyDescent="0.3">
      <c r="B7" s="371" t="s">
        <v>429</v>
      </c>
      <c r="C7" s="372">
        <f>+'A-D.- FICHA'!P16</f>
      </c>
    </row>
    <row ht="15.75" r="8" spans="2:3" thickBot="1" x14ac:dyDescent="0.3">
      <c r="B8" s="371" t="s">
        <v>784</v>
      </c>
      <c r="C8" s="372" t="str">
        <f>+'A-D.- FICHA'!P20</f>
      </c>
    </row>
    <row ht="15.75" r="9" spans="2:3" thickBot="1" x14ac:dyDescent="0.3">
      <c r="B9" s="371" t="s">
        <v>785</v>
      </c>
      <c r="C9" s="386">
        <f>+'A-D.- FICHA'!E20</f>
      </c>
    </row>
    <row ht="15.75" r="10" spans="2:3" thickBot="1" x14ac:dyDescent="0.3">
      <c r="B10" s="371" t="s">
        <v>399</v>
      </c>
      <c r="C10" s="387">
        <f>+'A-D.- FICHA'!P18</f>
      </c>
    </row>
    <row ht="15.75" r="11" spans="2:3" thickBot="1" x14ac:dyDescent="0.3">
      <c r="B11" s="371" t="s">
        <v>786</v>
      </c>
      <c r="C11" s="372" t="str">
        <f>+'A-D.- FICHA'!J10</f>
      </c>
    </row>
    <row ht="15.75" r="12" spans="2:3" thickBot="1" x14ac:dyDescent="0.3">
      <c r="B12" s="810" t="s">
        <v>787</v>
      </c>
      <c r="C12" s="811"/>
    </row>
    <row ht="15.75" r="13" spans="2:3" thickBot="1" x14ac:dyDescent="0.3">
      <c r="B13" s="371" t="s">
        <v>112</v>
      </c>
      <c r="C13" s="388" t="str">
        <f>+'A-D.- FICHA'!E79</f>
      </c>
    </row>
    <row ht="15.75" r="14" spans="2:3" thickBot="1" x14ac:dyDescent="0.3">
      <c r="B14" s="371" t="s">
        <v>111</v>
      </c>
      <c r="C14" s="388" t="str">
        <f>+'A-D.- FICHA'!E85</f>
      </c>
    </row>
    <row ht="15.75" r="15" spans="2:3" thickBot="1" x14ac:dyDescent="0.3">
      <c r="B15" s="371" t="s">
        <v>788</v>
      </c>
      <c r="C15" s="388">
        <f>+'A-D.- FICHA'!E63</f>
      </c>
    </row>
    <row ht="15.75" r="16" spans="2:3" thickBot="1" x14ac:dyDescent="0.3">
      <c r="B16" s="371" t="s">
        <v>789</v>
      </c>
      <c r="C16" s="388" t="str">
        <f>+'A-D.- FICHA'!E83</f>
      </c>
    </row>
    <row ht="15.75" r="17" spans="2:3" thickBot="1" x14ac:dyDescent="0.3">
      <c r="B17" s="371" t="s">
        <v>22</v>
      </c>
      <c r="C17" s="389">
        <f>+'A-D.- FICHA'!E67</f>
      </c>
    </row>
    <row ht="15.75" r="18" spans="2:3" thickBot="1" x14ac:dyDescent="0.3">
      <c r="B18" s="371" t="s">
        <v>790</v>
      </c>
      <c r="C18" s="388" t="str">
        <f>+'A-D.- FICHA'!E103</f>
      </c>
    </row>
    <row ht="15.75" r="19" spans="2:3" thickBot="1" x14ac:dyDescent="0.3">
      <c r="B19" s="371" t="s">
        <v>791</v>
      </c>
      <c r="C19" s="388">
        <f>+'A-D.- FICHA'!E34</f>
      </c>
    </row>
    <row ht="15.75" r="20" spans="2:3" thickBot="1" x14ac:dyDescent="0.3">
      <c r="B20" s="371" t="s">
        <v>792</v>
      </c>
      <c r="C20" s="388">
        <f>+'A-D.- FICHA'!E38</f>
      </c>
    </row>
    <row ht="15.75" r="21" spans="2:3" thickBot="1" x14ac:dyDescent="0.3">
      <c r="B21" s="371" t="s">
        <v>793</v>
      </c>
      <c r="C21" s="389">
        <f>+'A-D.- FICHA'!E101</f>
      </c>
    </row>
    <row ht="15.75" r="22" spans="2:3" thickBot="1" x14ac:dyDescent="0.3">
      <c r="B22" s="371" t="s">
        <v>794</v>
      </c>
      <c r="C22" s="389">
        <f>+'A-D.- FICHA'!P105</f>
      </c>
    </row>
    <row ht="15.75" r="23" spans="2:3" thickBot="1" x14ac:dyDescent="0.3">
      <c r="B23" s="371" t="s">
        <v>795</v>
      </c>
      <c r="C23" s="389" t="str">
        <f>+'A-D.- FICHA'!J107</f>
      </c>
    </row>
    <row ht="15.75" r="24" spans="2:3" thickBot="1" x14ac:dyDescent="0.3">
      <c r="B24" s="371" t="s">
        <v>796</v>
      </c>
      <c r="C24" s="388">
        <f>+'A-D.- FICHA'!J101</f>
      </c>
    </row>
    <row ht="15.75" r="25" spans="2:3" thickBot="1" x14ac:dyDescent="0.3">
      <c r="B25" s="810" t="s">
        <v>797</v>
      </c>
      <c r="C25" s="811"/>
    </row>
    <row ht="15.75" r="26" spans="2:3" thickBot="1" x14ac:dyDescent="0.3">
      <c r="B26" s="371" t="s">
        <v>798</v>
      </c>
      <c r="C26" s="372" t="str">
        <f>+'A-D.- FICHA'!J121</f>
      </c>
    </row>
    <row ht="15.75" r="27" spans="2:3" thickBot="1" x14ac:dyDescent="0.3">
      <c r="B27" s="371" t="s">
        <v>799</v>
      </c>
      <c r="C27" s="372" t="str">
        <f>IF(+'A-D.- FICHA'!G184=0,"No aplica",+'A-D.- FICHA'!G184=0)</f>
      </c>
    </row>
  </sheetData>
  <mergeCells count="3">
    <mergeCell ref="B2:C2"/>
    <mergeCell ref="B12:C12"/>
    <mergeCell ref="B25:C2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43</vt:i4>
      </vt:variant>
    </vt:vector>
  </HeadingPairs>
  <TitlesOfParts>
    <vt:vector size="52" baseType="lpstr">
      <vt:lpstr>A-D.- FICHA</vt:lpstr>
      <vt:lpstr>E.- CROQUIS</vt:lpstr>
      <vt:lpstr>F.1- CONDICION GLOBAL</vt:lpstr>
      <vt:lpstr>F.2.-PANEL FOTOGRAFICO</vt:lpstr>
      <vt:lpstr>G.- CONDICION ESTADISTICA</vt:lpstr>
      <vt:lpstr>G.2-CONCLUSIONES</vt:lpstr>
      <vt:lpstr>AUXILIAR</vt:lpstr>
      <vt:lpstr>Hoja1</vt:lpstr>
      <vt:lpstr>Hoja3</vt:lpstr>
      <vt:lpstr>'A-D.- FICHA'!Alineamiento</vt:lpstr>
      <vt:lpstr>'A-D.- FICHA'!Área_de_impresión</vt:lpstr>
      <vt:lpstr>'E.- CROQUIS'!Área_de_impresión</vt:lpstr>
      <vt:lpstr>'F.1- CONDICION GLOBAL'!Área_de_impresión</vt:lpstr>
      <vt:lpstr>'F.2.-PANEL FOTOGRAFICO'!Área_de_impresión</vt:lpstr>
      <vt:lpstr>'G.- CONDICION ESTADISTICA'!Área_de_impresión</vt:lpstr>
      <vt:lpstr>'G.2-CONCLUSIONES'!Área_de_impresión</vt:lpstr>
      <vt:lpstr>'A-D.- FICHA'!CatTipo</vt:lpstr>
      <vt:lpstr>'A-D.- FICHA'!Cond.Borde</vt:lpstr>
      <vt:lpstr>'A-D.- FICHA'!Cond.Carretera</vt:lpstr>
      <vt:lpstr>'A-D.- FICHA'!CondAmb</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ING. NELSON PAREJA</dc:creator>
  <cp:keywords>EF</cp:keywords>
  <cp:lastModifiedBy>Ing. Chrysley Berrios</cp:lastModifiedBy>
  <cp:lastPrinted>2026-07-25T20:58:55Z</cp:lastPrinted>
  <dcterms:created xsi:type="dcterms:W3CDTF">2011-03-30T15:30:47Z</dcterms:created>
  <dcterms:modified xsi:type="dcterms:W3CDTF">2026-10-07T21:02:14Z</dcterms:modified>
</cp:coreProperties>
</file>